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achi Agarwal\Downloads\"/>
    </mc:Choice>
  </mc:AlternateContent>
  <xr:revisionPtr revIDLastSave="0" documentId="8_{CE57F975-91FB-46F0-A350-564B7B88ADD7}" xr6:coauthVersionLast="47" xr6:coauthVersionMax="47" xr10:uidLastSave="{00000000-0000-0000-0000-000000000000}"/>
  <bookViews>
    <workbookView xWindow="-96" yWindow="0" windowWidth="16836" windowHeight="12336" activeTab="2" xr2:uid="{00000000-000D-0000-FFFF-FFFF00000000}"/>
  </bookViews>
  <sheets>
    <sheet name="Cover Sheet" sheetId="12" r:id="rId1"/>
    <sheet name="Nifty 50 " sheetId="11" r:id="rId2"/>
    <sheet name="Beta Analysis" sheetId="7" r:id="rId3"/>
    <sheet name="Capital Structure" sheetId="8" r:id="rId4"/>
    <sheet name="PE Valuation Model" sheetId="9" r:id="rId5"/>
    <sheet name="Cost Of Debt Analysis" sheetId="1" r:id="rId6"/>
    <sheet name="Balance Sheet" sheetId="2" r:id="rId7"/>
    <sheet name="Raw Financial Data" sheetId="6" r:id="rId8"/>
  </sheets>
  <definedNames>
    <definedName name="UPDATE">'Raw Financial Data'!$E$1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" i="1" l="1"/>
  <c r="A1" i="2"/>
  <c r="E624" i="7"/>
  <c r="E675" i="7"/>
  <c r="E807" i="7"/>
  <c r="E936" i="7"/>
  <c r="E990" i="7"/>
  <c r="E1141" i="7"/>
  <c r="E121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3" i="7"/>
  <c r="B4" i="9"/>
  <c r="C4" i="8"/>
  <c r="B5" i="8"/>
  <c r="C5" i="8" s="1"/>
  <c r="F8" i="1"/>
  <c r="E8" i="1"/>
  <c r="D8" i="1"/>
  <c r="C8" i="1"/>
  <c r="B8" i="1"/>
  <c r="B4" i="1"/>
  <c r="C4" i="1"/>
  <c r="D4" i="1"/>
  <c r="E4" i="1"/>
  <c r="F4" i="1"/>
  <c r="B5" i="1"/>
  <c r="C5" i="1"/>
  <c r="D5" i="1"/>
  <c r="E5" i="1"/>
  <c r="F5" i="1"/>
  <c r="B6" i="1"/>
  <c r="C6" i="1"/>
  <c r="D6" i="1"/>
  <c r="E6" i="1"/>
  <c r="F6" i="1"/>
  <c r="C1240" i="7"/>
  <c r="C1239" i="7"/>
  <c r="C1238" i="7"/>
  <c r="C1237" i="7"/>
  <c r="C1236" i="7"/>
  <c r="C1235" i="7"/>
  <c r="E1236" i="7" s="1"/>
  <c r="C1234" i="7"/>
  <c r="C1233" i="7"/>
  <c r="E1234" i="7" s="1"/>
  <c r="C1232" i="7"/>
  <c r="C1231" i="7"/>
  <c r="C1230" i="7"/>
  <c r="C1229" i="7"/>
  <c r="C1228" i="7"/>
  <c r="C1227" i="7"/>
  <c r="C1226" i="7"/>
  <c r="C1225" i="7"/>
  <c r="E1226" i="7" s="1"/>
  <c r="C1224" i="7"/>
  <c r="C1223" i="7"/>
  <c r="C1222" i="7"/>
  <c r="C1221" i="7"/>
  <c r="C1220" i="7"/>
  <c r="C1219" i="7"/>
  <c r="E1220" i="7" s="1"/>
  <c r="C1218" i="7"/>
  <c r="E1219" i="7" s="1"/>
  <c r="C1217" i="7"/>
  <c r="E1217" i="7" s="1"/>
  <c r="C1216" i="7"/>
  <c r="C1215" i="7"/>
  <c r="C1214" i="7"/>
  <c r="C1213" i="7"/>
  <c r="C1212" i="7"/>
  <c r="C1211" i="7"/>
  <c r="E1212" i="7" s="1"/>
  <c r="C1210" i="7"/>
  <c r="C1209" i="7"/>
  <c r="E1210" i="7" s="1"/>
  <c r="C1208" i="7"/>
  <c r="E1209" i="7" s="1"/>
  <c r="C1207" i="7"/>
  <c r="C1206" i="7"/>
  <c r="C1205" i="7"/>
  <c r="C1204" i="7"/>
  <c r="C1203" i="7"/>
  <c r="E1204" i="7" s="1"/>
  <c r="C1202" i="7"/>
  <c r="E1203" i="7" s="1"/>
  <c r="C1201" i="7"/>
  <c r="E1202" i="7" s="1"/>
  <c r="C1200" i="7"/>
  <c r="C1199" i="7"/>
  <c r="C1198" i="7"/>
  <c r="C1197" i="7"/>
  <c r="C1196" i="7"/>
  <c r="C1195" i="7"/>
  <c r="E1196" i="7" s="1"/>
  <c r="C1194" i="7"/>
  <c r="E1195" i="7" s="1"/>
  <c r="C1193" i="7"/>
  <c r="E1194" i="7" s="1"/>
  <c r="C1192" i="7"/>
  <c r="C1191" i="7"/>
  <c r="C1190" i="7"/>
  <c r="C1189" i="7"/>
  <c r="C1188" i="7"/>
  <c r="C1187" i="7"/>
  <c r="E1188" i="7" s="1"/>
  <c r="C1186" i="7"/>
  <c r="C1185" i="7"/>
  <c r="E1186" i="7" s="1"/>
  <c r="C1184" i="7"/>
  <c r="C1183" i="7"/>
  <c r="C1182" i="7"/>
  <c r="C1181" i="7"/>
  <c r="C1180" i="7"/>
  <c r="C1179" i="7"/>
  <c r="E1180" i="7" s="1"/>
  <c r="C1178" i="7"/>
  <c r="E1179" i="7" s="1"/>
  <c r="C1177" i="7"/>
  <c r="E1178" i="7" s="1"/>
  <c r="C1176" i="7"/>
  <c r="C1175" i="7"/>
  <c r="C1174" i="7"/>
  <c r="C1173" i="7"/>
  <c r="C1172" i="7"/>
  <c r="C1171" i="7"/>
  <c r="E1172" i="7" s="1"/>
  <c r="C1170" i="7"/>
  <c r="C1169" i="7"/>
  <c r="E1170" i="7" s="1"/>
  <c r="C1168" i="7"/>
  <c r="C1167" i="7"/>
  <c r="C1166" i="7"/>
  <c r="C1165" i="7"/>
  <c r="C1164" i="7"/>
  <c r="C1163" i="7"/>
  <c r="C1162" i="7"/>
  <c r="C1161" i="7"/>
  <c r="E1162" i="7" s="1"/>
  <c r="C1160" i="7"/>
  <c r="C1159" i="7"/>
  <c r="C1158" i="7"/>
  <c r="C1157" i="7"/>
  <c r="C1156" i="7"/>
  <c r="C1155" i="7"/>
  <c r="E1156" i="7" s="1"/>
  <c r="C1154" i="7"/>
  <c r="C1153" i="7"/>
  <c r="E1154" i="7" s="1"/>
  <c r="C1152" i="7"/>
  <c r="C1151" i="7"/>
  <c r="E1152" i="7" s="1"/>
  <c r="C1150" i="7"/>
  <c r="C1149" i="7"/>
  <c r="C1148" i="7"/>
  <c r="C1147" i="7"/>
  <c r="E1148" i="7" s="1"/>
  <c r="C1146" i="7"/>
  <c r="E1147" i="7" s="1"/>
  <c r="C1145" i="7"/>
  <c r="E1146" i="7" s="1"/>
  <c r="C1144" i="7"/>
  <c r="C1143" i="7"/>
  <c r="E1144" i="7" s="1"/>
  <c r="C1142" i="7"/>
  <c r="C1141" i="7"/>
  <c r="C1140" i="7"/>
  <c r="C1139" i="7"/>
  <c r="E1140" i="7" s="1"/>
  <c r="C1138" i="7"/>
  <c r="C1137" i="7"/>
  <c r="E1138" i="7" s="1"/>
  <c r="C1136" i="7"/>
  <c r="C1135" i="7"/>
  <c r="E1136" i="7" s="1"/>
  <c r="C1134" i="7"/>
  <c r="C1133" i="7"/>
  <c r="C1132" i="7"/>
  <c r="C1131" i="7"/>
  <c r="C1130" i="7"/>
  <c r="C1129" i="7"/>
  <c r="E1130" i="7" s="1"/>
  <c r="C1128" i="7"/>
  <c r="C1127" i="7"/>
  <c r="E1128" i="7" s="1"/>
  <c r="C1126" i="7"/>
  <c r="C1125" i="7"/>
  <c r="C1124" i="7"/>
  <c r="C1123" i="7"/>
  <c r="E1124" i="7" s="1"/>
  <c r="C1122" i="7"/>
  <c r="C1121" i="7"/>
  <c r="E1122" i="7" s="1"/>
  <c r="C1120" i="7"/>
  <c r="C1119" i="7"/>
  <c r="E1120" i="7" s="1"/>
  <c r="C1118" i="7"/>
  <c r="C1117" i="7"/>
  <c r="C1116" i="7"/>
  <c r="C1115" i="7"/>
  <c r="C1114" i="7"/>
  <c r="C1113" i="7"/>
  <c r="E1114" i="7" s="1"/>
  <c r="C1112" i="7"/>
  <c r="C1111" i="7"/>
  <c r="E1112" i="7" s="1"/>
  <c r="C1110" i="7"/>
  <c r="C1109" i="7"/>
  <c r="C1108" i="7"/>
  <c r="C1107" i="7"/>
  <c r="E1108" i="7" s="1"/>
  <c r="C1106" i="7"/>
  <c r="C1105" i="7"/>
  <c r="E1106" i="7" s="1"/>
  <c r="C1104" i="7"/>
  <c r="C1103" i="7"/>
  <c r="E1104" i="7" s="1"/>
  <c r="C1102" i="7"/>
  <c r="C1101" i="7"/>
  <c r="C1100" i="7"/>
  <c r="C1099" i="7"/>
  <c r="E1100" i="7" s="1"/>
  <c r="C1098" i="7"/>
  <c r="E1099" i="7" s="1"/>
  <c r="C1097" i="7"/>
  <c r="E1098" i="7" s="1"/>
  <c r="C1096" i="7"/>
  <c r="C1095" i="7"/>
  <c r="E1096" i="7" s="1"/>
  <c r="C1094" i="7"/>
  <c r="C1093" i="7"/>
  <c r="C1092" i="7"/>
  <c r="E1093" i="7" s="1"/>
  <c r="C1091" i="7"/>
  <c r="E1092" i="7" s="1"/>
  <c r="C1090" i="7"/>
  <c r="C1089" i="7"/>
  <c r="E1090" i="7" s="1"/>
  <c r="C1088" i="7"/>
  <c r="C1087" i="7"/>
  <c r="E1088" i="7" s="1"/>
  <c r="C1086" i="7"/>
  <c r="C1085" i="7"/>
  <c r="C1084" i="7"/>
  <c r="C1083" i="7"/>
  <c r="C1082" i="7"/>
  <c r="C1081" i="7"/>
  <c r="E1082" i="7" s="1"/>
  <c r="C1080" i="7"/>
  <c r="C1079" i="7"/>
  <c r="E1080" i="7" s="1"/>
  <c r="C1078" i="7"/>
  <c r="C1077" i="7"/>
  <c r="C1076" i="7"/>
  <c r="C1075" i="7"/>
  <c r="E1076" i="7" s="1"/>
  <c r="C1074" i="7"/>
  <c r="C1073" i="7"/>
  <c r="E1074" i="7" s="1"/>
  <c r="C1072" i="7"/>
  <c r="C1071" i="7"/>
  <c r="E1072" i="7" s="1"/>
  <c r="C1070" i="7"/>
  <c r="C1069" i="7"/>
  <c r="C1068" i="7"/>
  <c r="C1067" i="7"/>
  <c r="E1068" i="7" s="1"/>
  <c r="C1066" i="7"/>
  <c r="E1067" i="7" s="1"/>
  <c r="C1065" i="7"/>
  <c r="E1066" i="7" s="1"/>
  <c r="C1064" i="7"/>
  <c r="C1063" i="7"/>
  <c r="E1064" i="7" s="1"/>
  <c r="C1062" i="7"/>
  <c r="C1061" i="7"/>
  <c r="C1060" i="7"/>
  <c r="C1059" i="7"/>
  <c r="E1060" i="7" s="1"/>
  <c r="C1058" i="7"/>
  <c r="C1057" i="7"/>
  <c r="E1058" i="7" s="1"/>
  <c r="C1056" i="7"/>
  <c r="C1055" i="7"/>
  <c r="E1056" i="7" s="1"/>
  <c r="C1054" i="7"/>
  <c r="C1053" i="7"/>
  <c r="C1052" i="7"/>
  <c r="C1051" i="7"/>
  <c r="E1052" i="7" s="1"/>
  <c r="C1050" i="7"/>
  <c r="E1051" i="7" s="1"/>
  <c r="C1049" i="7"/>
  <c r="E1050" i="7" s="1"/>
  <c r="C1048" i="7"/>
  <c r="C1047" i="7"/>
  <c r="E1048" i="7" s="1"/>
  <c r="C1046" i="7"/>
  <c r="C1045" i="7"/>
  <c r="C1044" i="7"/>
  <c r="C1043" i="7"/>
  <c r="E1044" i="7" s="1"/>
  <c r="C1042" i="7"/>
  <c r="C1041" i="7"/>
  <c r="E1042" i="7" s="1"/>
  <c r="C1040" i="7"/>
  <c r="C1039" i="7"/>
  <c r="E1040" i="7" s="1"/>
  <c r="C1038" i="7"/>
  <c r="C1037" i="7"/>
  <c r="C1036" i="7"/>
  <c r="C1035" i="7"/>
  <c r="C1034" i="7"/>
  <c r="C1033" i="7"/>
  <c r="E1034" i="7" s="1"/>
  <c r="C1032" i="7"/>
  <c r="C1031" i="7"/>
  <c r="E1032" i="7" s="1"/>
  <c r="C1030" i="7"/>
  <c r="C1029" i="7"/>
  <c r="C1028" i="7"/>
  <c r="C1027" i="7"/>
  <c r="E1028" i="7" s="1"/>
  <c r="C1026" i="7"/>
  <c r="C1025" i="7"/>
  <c r="E1026" i="7" s="1"/>
  <c r="C1024" i="7"/>
  <c r="C1023" i="7"/>
  <c r="E1024" i="7" s="1"/>
  <c r="C1022" i="7"/>
  <c r="C1021" i="7"/>
  <c r="C1020" i="7"/>
  <c r="C1019" i="7"/>
  <c r="E1020" i="7" s="1"/>
  <c r="C1018" i="7"/>
  <c r="C1017" i="7"/>
  <c r="E1018" i="7" s="1"/>
  <c r="C1016" i="7"/>
  <c r="C1015" i="7"/>
  <c r="E1016" i="7" s="1"/>
  <c r="C1014" i="7"/>
  <c r="C1013" i="7"/>
  <c r="C1012" i="7"/>
  <c r="C1011" i="7"/>
  <c r="C1010" i="7"/>
  <c r="C1009" i="7"/>
  <c r="E1010" i="7" s="1"/>
  <c r="C1008" i="7"/>
  <c r="C1007" i="7"/>
  <c r="E1008" i="7" s="1"/>
  <c r="C1006" i="7"/>
  <c r="C1005" i="7"/>
  <c r="C1004" i="7"/>
  <c r="C1003" i="7"/>
  <c r="E1004" i="7" s="1"/>
  <c r="C1002" i="7"/>
  <c r="C1001" i="7"/>
  <c r="E1002" i="7" s="1"/>
  <c r="C1000" i="7"/>
  <c r="C999" i="7"/>
  <c r="C998" i="7"/>
  <c r="C997" i="7"/>
  <c r="C996" i="7"/>
  <c r="C995" i="7"/>
  <c r="E996" i="7" s="1"/>
  <c r="C994" i="7"/>
  <c r="C993" i="7"/>
  <c r="E994" i="7" s="1"/>
  <c r="C992" i="7"/>
  <c r="C991" i="7"/>
  <c r="E992" i="7" s="1"/>
  <c r="C990" i="7"/>
  <c r="C989" i="7"/>
  <c r="C988" i="7"/>
  <c r="C987" i="7"/>
  <c r="E988" i="7" s="1"/>
  <c r="C986" i="7"/>
  <c r="C985" i="7"/>
  <c r="E986" i="7" s="1"/>
  <c r="C984" i="7"/>
  <c r="C983" i="7"/>
  <c r="E984" i="7" s="1"/>
  <c r="C982" i="7"/>
  <c r="C981" i="7"/>
  <c r="C980" i="7"/>
  <c r="C979" i="7"/>
  <c r="E980" i="7" s="1"/>
  <c r="C978" i="7"/>
  <c r="C977" i="7"/>
  <c r="E978" i="7" s="1"/>
  <c r="C976" i="7"/>
  <c r="C975" i="7"/>
  <c r="E976" i="7" s="1"/>
  <c r="C974" i="7"/>
  <c r="C973" i="7"/>
  <c r="C972" i="7"/>
  <c r="C971" i="7"/>
  <c r="E972" i="7" s="1"/>
  <c r="C970" i="7"/>
  <c r="C969" i="7"/>
  <c r="E970" i="7" s="1"/>
  <c r="C968" i="7"/>
  <c r="E969" i="7" s="1"/>
  <c r="C967" i="7"/>
  <c r="E968" i="7" s="1"/>
  <c r="C966" i="7"/>
  <c r="E967" i="7" s="1"/>
  <c r="C965" i="7"/>
  <c r="C964" i="7"/>
  <c r="C963" i="7"/>
  <c r="E964" i="7" s="1"/>
  <c r="C962" i="7"/>
  <c r="C961" i="7"/>
  <c r="E962" i="7" s="1"/>
  <c r="C960" i="7"/>
  <c r="C959" i="7"/>
  <c r="E960" i="7" s="1"/>
  <c r="C958" i="7"/>
  <c r="E959" i="7" s="1"/>
  <c r="C957" i="7"/>
  <c r="C956" i="7"/>
  <c r="C955" i="7"/>
  <c r="E956" i="7" s="1"/>
  <c r="C954" i="7"/>
  <c r="E955" i="7" s="1"/>
  <c r="C953" i="7"/>
  <c r="E954" i="7" s="1"/>
  <c r="C952" i="7"/>
  <c r="C951" i="7"/>
  <c r="E952" i="7" s="1"/>
  <c r="C950" i="7"/>
  <c r="C949" i="7"/>
  <c r="C948" i="7"/>
  <c r="C947" i="7"/>
  <c r="E948" i="7" s="1"/>
  <c r="C946" i="7"/>
  <c r="E947" i="7" s="1"/>
  <c r="C945" i="7"/>
  <c r="E946" i="7" s="1"/>
  <c r="C944" i="7"/>
  <c r="C943" i="7"/>
  <c r="E944" i="7" s="1"/>
  <c r="C942" i="7"/>
  <c r="C941" i="7"/>
  <c r="C940" i="7"/>
  <c r="C939" i="7"/>
  <c r="E940" i="7" s="1"/>
  <c r="C938" i="7"/>
  <c r="C937" i="7"/>
  <c r="E938" i="7" s="1"/>
  <c r="C936" i="7"/>
  <c r="C935" i="7"/>
  <c r="C934" i="7"/>
  <c r="C933" i="7"/>
  <c r="C932" i="7"/>
  <c r="C931" i="7"/>
  <c r="E932" i="7" s="1"/>
  <c r="C930" i="7"/>
  <c r="C929" i="7"/>
  <c r="E930" i="7" s="1"/>
  <c r="C928" i="7"/>
  <c r="C927" i="7"/>
  <c r="E928" i="7" s="1"/>
  <c r="C926" i="7"/>
  <c r="C925" i="7"/>
  <c r="C924" i="7"/>
  <c r="C923" i="7"/>
  <c r="E924" i="7" s="1"/>
  <c r="C922" i="7"/>
  <c r="C921" i="7"/>
  <c r="E922" i="7" s="1"/>
  <c r="C920" i="7"/>
  <c r="C919" i="7"/>
  <c r="E920" i="7" s="1"/>
  <c r="C918" i="7"/>
  <c r="C917" i="7"/>
  <c r="C916" i="7"/>
  <c r="C915" i="7"/>
  <c r="E916" i="7" s="1"/>
  <c r="C914" i="7"/>
  <c r="C913" i="7"/>
  <c r="E914" i="7" s="1"/>
  <c r="C912" i="7"/>
  <c r="C911" i="7"/>
  <c r="E912" i="7" s="1"/>
  <c r="C910" i="7"/>
  <c r="C909" i="7"/>
  <c r="C908" i="7"/>
  <c r="C907" i="7"/>
  <c r="E908" i="7" s="1"/>
  <c r="C906" i="7"/>
  <c r="C905" i="7"/>
  <c r="E906" i="7" s="1"/>
  <c r="C904" i="7"/>
  <c r="C903" i="7"/>
  <c r="E904" i="7" s="1"/>
  <c r="C902" i="7"/>
  <c r="E903" i="7" s="1"/>
  <c r="C901" i="7"/>
  <c r="C900" i="7"/>
  <c r="C899" i="7"/>
  <c r="E900" i="7" s="1"/>
  <c r="C898" i="7"/>
  <c r="C897" i="7"/>
  <c r="E898" i="7" s="1"/>
  <c r="C896" i="7"/>
  <c r="C895" i="7"/>
  <c r="E896" i="7" s="1"/>
  <c r="C894" i="7"/>
  <c r="E895" i="7" s="1"/>
  <c r="C893" i="7"/>
  <c r="C892" i="7"/>
  <c r="C891" i="7"/>
  <c r="E892" i="7" s="1"/>
  <c r="C890" i="7"/>
  <c r="C889" i="7"/>
  <c r="E890" i="7" s="1"/>
  <c r="C888" i="7"/>
  <c r="C887" i="7"/>
  <c r="E888" i="7" s="1"/>
  <c r="C886" i="7"/>
  <c r="C885" i="7"/>
  <c r="C884" i="7"/>
  <c r="C883" i="7"/>
  <c r="E884" i="7" s="1"/>
  <c r="C882" i="7"/>
  <c r="C881" i="7"/>
  <c r="E882" i="7" s="1"/>
  <c r="C880" i="7"/>
  <c r="C879" i="7"/>
  <c r="E880" i="7" s="1"/>
  <c r="C878" i="7"/>
  <c r="E879" i="7" s="1"/>
  <c r="C877" i="7"/>
  <c r="C876" i="7"/>
  <c r="C875" i="7"/>
  <c r="E876" i="7" s="1"/>
  <c r="C874" i="7"/>
  <c r="C873" i="7"/>
  <c r="E874" i="7" s="1"/>
  <c r="C872" i="7"/>
  <c r="C871" i="7"/>
  <c r="E872" i="7" s="1"/>
  <c r="C870" i="7"/>
  <c r="C869" i="7"/>
  <c r="C868" i="7"/>
  <c r="C867" i="7"/>
  <c r="C866" i="7"/>
  <c r="C865" i="7"/>
  <c r="E866" i="7" s="1"/>
  <c r="C864" i="7"/>
  <c r="C863" i="7"/>
  <c r="E864" i="7" s="1"/>
  <c r="C862" i="7"/>
  <c r="C861" i="7"/>
  <c r="C860" i="7"/>
  <c r="C859" i="7"/>
  <c r="E860" i="7" s="1"/>
  <c r="C858" i="7"/>
  <c r="C857" i="7"/>
  <c r="E858" i="7" s="1"/>
  <c r="C856" i="7"/>
  <c r="C855" i="7"/>
  <c r="E856" i="7" s="1"/>
  <c r="C854" i="7"/>
  <c r="C853" i="7"/>
  <c r="C852" i="7"/>
  <c r="C851" i="7"/>
  <c r="E852" i="7" s="1"/>
  <c r="C850" i="7"/>
  <c r="C849" i="7"/>
  <c r="E850" i="7" s="1"/>
  <c r="C848" i="7"/>
  <c r="C847" i="7"/>
  <c r="E848" i="7" s="1"/>
  <c r="C846" i="7"/>
  <c r="C845" i="7"/>
  <c r="C844" i="7"/>
  <c r="C843" i="7"/>
  <c r="E844" i="7" s="1"/>
  <c r="C842" i="7"/>
  <c r="E843" i="7" s="1"/>
  <c r="C841" i="7"/>
  <c r="E842" i="7" s="1"/>
  <c r="C840" i="7"/>
  <c r="C839" i="7"/>
  <c r="E840" i="7" s="1"/>
  <c r="C838" i="7"/>
  <c r="C837" i="7"/>
  <c r="C836" i="7"/>
  <c r="C835" i="7"/>
  <c r="E836" i="7" s="1"/>
  <c r="C834" i="7"/>
  <c r="C833" i="7"/>
  <c r="E834" i="7" s="1"/>
  <c r="C832" i="7"/>
  <c r="C831" i="7"/>
  <c r="E832" i="7" s="1"/>
  <c r="C830" i="7"/>
  <c r="E831" i="7" s="1"/>
  <c r="C829" i="7"/>
  <c r="C828" i="7"/>
  <c r="C827" i="7"/>
  <c r="E828" i="7" s="1"/>
  <c r="C826" i="7"/>
  <c r="C825" i="7"/>
  <c r="E826" i="7" s="1"/>
  <c r="C824" i="7"/>
  <c r="C823" i="7"/>
  <c r="E824" i="7" s="1"/>
  <c r="C822" i="7"/>
  <c r="C821" i="7"/>
  <c r="C820" i="7"/>
  <c r="C819" i="7"/>
  <c r="E820" i="7" s="1"/>
  <c r="C818" i="7"/>
  <c r="C817" i="7"/>
  <c r="E818" i="7" s="1"/>
  <c r="C816" i="7"/>
  <c r="C815" i="7"/>
  <c r="E816" i="7" s="1"/>
  <c r="C814" i="7"/>
  <c r="C813" i="7"/>
  <c r="C812" i="7"/>
  <c r="C811" i="7"/>
  <c r="E812" i="7" s="1"/>
  <c r="C810" i="7"/>
  <c r="C809" i="7"/>
  <c r="E810" i="7" s="1"/>
  <c r="C808" i="7"/>
  <c r="C807" i="7"/>
  <c r="E808" i="7" s="1"/>
  <c r="C806" i="7"/>
  <c r="C805" i="7"/>
  <c r="C804" i="7"/>
  <c r="C803" i="7"/>
  <c r="E804" i="7" s="1"/>
  <c r="C802" i="7"/>
  <c r="C801" i="7"/>
  <c r="E802" i="7" s="1"/>
  <c r="C800" i="7"/>
  <c r="C799" i="7"/>
  <c r="E800" i="7" s="1"/>
  <c r="C798" i="7"/>
  <c r="C797" i="7"/>
  <c r="C796" i="7"/>
  <c r="C795" i="7"/>
  <c r="E796" i="7" s="1"/>
  <c r="C794" i="7"/>
  <c r="C793" i="7"/>
  <c r="E793" i="7" s="1"/>
  <c r="C792" i="7"/>
  <c r="C791" i="7"/>
  <c r="E792" i="7" s="1"/>
  <c r="C790" i="7"/>
  <c r="C789" i="7"/>
  <c r="C788" i="7"/>
  <c r="C787" i="7"/>
  <c r="E788" i="7" s="1"/>
  <c r="C786" i="7"/>
  <c r="C785" i="7"/>
  <c r="E786" i="7" s="1"/>
  <c r="C784" i="7"/>
  <c r="C783" i="7"/>
  <c r="E784" i="7" s="1"/>
  <c r="C782" i="7"/>
  <c r="C781" i="7"/>
  <c r="C780" i="7"/>
  <c r="C779" i="7"/>
  <c r="E780" i="7" s="1"/>
  <c r="C778" i="7"/>
  <c r="C777" i="7"/>
  <c r="E778" i="7" s="1"/>
  <c r="C776" i="7"/>
  <c r="C775" i="7"/>
  <c r="E776" i="7" s="1"/>
  <c r="C774" i="7"/>
  <c r="C773" i="7"/>
  <c r="C772" i="7"/>
  <c r="C771" i="7"/>
  <c r="E772" i="7" s="1"/>
  <c r="C770" i="7"/>
  <c r="C769" i="7"/>
  <c r="E770" i="7" s="1"/>
  <c r="C768" i="7"/>
  <c r="C767" i="7"/>
  <c r="E768" i="7" s="1"/>
  <c r="C766" i="7"/>
  <c r="C765" i="7"/>
  <c r="C764" i="7"/>
  <c r="C763" i="7"/>
  <c r="E764" i="7" s="1"/>
  <c r="C762" i="7"/>
  <c r="C761" i="7"/>
  <c r="E762" i="7" s="1"/>
  <c r="C760" i="7"/>
  <c r="C759" i="7"/>
  <c r="E760" i="7" s="1"/>
  <c r="C758" i="7"/>
  <c r="E759" i="7" s="1"/>
  <c r="C757" i="7"/>
  <c r="C756" i="7"/>
  <c r="C755" i="7"/>
  <c r="E756" i="7" s="1"/>
  <c r="C754" i="7"/>
  <c r="C753" i="7"/>
  <c r="E754" i="7" s="1"/>
  <c r="C752" i="7"/>
  <c r="C751" i="7"/>
  <c r="E752" i="7" s="1"/>
  <c r="C750" i="7"/>
  <c r="C749" i="7"/>
  <c r="C748" i="7"/>
  <c r="C747" i="7"/>
  <c r="E748" i="7" s="1"/>
  <c r="C746" i="7"/>
  <c r="C745" i="7"/>
  <c r="E746" i="7" s="1"/>
  <c r="C744" i="7"/>
  <c r="C743" i="7"/>
  <c r="E744" i="7" s="1"/>
  <c r="C742" i="7"/>
  <c r="C741" i="7"/>
  <c r="C740" i="7"/>
  <c r="C739" i="7"/>
  <c r="E740" i="7" s="1"/>
  <c r="C738" i="7"/>
  <c r="C737" i="7"/>
  <c r="E738" i="7" s="1"/>
  <c r="C736" i="7"/>
  <c r="C735" i="7"/>
  <c r="E736" i="7" s="1"/>
  <c r="C734" i="7"/>
  <c r="C733" i="7"/>
  <c r="C732" i="7"/>
  <c r="C731" i="7"/>
  <c r="E732" i="7" s="1"/>
  <c r="C730" i="7"/>
  <c r="E731" i="7" s="1"/>
  <c r="C729" i="7"/>
  <c r="E730" i="7" s="1"/>
  <c r="C728" i="7"/>
  <c r="C727" i="7"/>
  <c r="E728" i="7" s="1"/>
  <c r="C726" i="7"/>
  <c r="E727" i="7" s="1"/>
  <c r="C725" i="7"/>
  <c r="C724" i="7"/>
  <c r="C723" i="7"/>
  <c r="E724" i="7" s="1"/>
  <c r="C722" i="7"/>
  <c r="C721" i="7"/>
  <c r="E722" i="7" s="1"/>
  <c r="C720" i="7"/>
  <c r="C719" i="7"/>
  <c r="E720" i="7" s="1"/>
  <c r="C718" i="7"/>
  <c r="C717" i="7"/>
  <c r="C716" i="7"/>
  <c r="C715" i="7"/>
  <c r="C714" i="7"/>
  <c r="C713" i="7"/>
  <c r="E714" i="7" s="1"/>
  <c r="C712" i="7"/>
  <c r="C711" i="7"/>
  <c r="E712" i="7" s="1"/>
  <c r="C710" i="7"/>
  <c r="C709" i="7"/>
  <c r="C708" i="7"/>
  <c r="C707" i="7"/>
  <c r="E708" i="7" s="1"/>
  <c r="C706" i="7"/>
  <c r="C705" i="7"/>
  <c r="E706" i="7" s="1"/>
  <c r="C704" i="7"/>
  <c r="C703" i="7"/>
  <c r="C702" i="7"/>
  <c r="C701" i="7"/>
  <c r="C700" i="7"/>
  <c r="C699" i="7"/>
  <c r="E700" i="7" s="1"/>
  <c r="C698" i="7"/>
  <c r="C697" i="7"/>
  <c r="E698" i="7" s="1"/>
  <c r="C696" i="7"/>
  <c r="C695" i="7"/>
  <c r="E696" i="7" s="1"/>
  <c r="C694" i="7"/>
  <c r="C693" i="7"/>
  <c r="C692" i="7"/>
  <c r="C691" i="7"/>
  <c r="E692" i="7" s="1"/>
  <c r="C690" i="7"/>
  <c r="C689" i="7"/>
  <c r="E690" i="7" s="1"/>
  <c r="C688" i="7"/>
  <c r="C687" i="7"/>
  <c r="E688" i="7" s="1"/>
  <c r="C686" i="7"/>
  <c r="C685" i="7"/>
  <c r="C684" i="7"/>
  <c r="C683" i="7"/>
  <c r="E684" i="7" s="1"/>
  <c r="C682" i="7"/>
  <c r="C681" i="7"/>
  <c r="E682" i="7" s="1"/>
  <c r="C680" i="7"/>
  <c r="C679" i="7"/>
  <c r="E680" i="7" s="1"/>
  <c r="C678" i="7"/>
  <c r="C677" i="7"/>
  <c r="C676" i="7"/>
  <c r="C675" i="7"/>
  <c r="E676" i="7" s="1"/>
  <c r="C674" i="7"/>
  <c r="C673" i="7"/>
  <c r="E674" i="7" s="1"/>
  <c r="C672" i="7"/>
  <c r="C671" i="7"/>
  <c r="E672" i="7" s="1"/>
  <c r="C670" i="7"/>
  <c r="C669" i="7"/>
  <c r="C668" i="7"/>
  <c r="C667" i="7"/>
  <c r="E668" i="7" s="1"/>
  <c r="C666" i="7"/>
  <c r="C665" i="7"/>
  <c r="E666" i="7" s="1"/>
  <c r="C664" i="7"/>
  <c r="C663" i="7"/>
  <c r="E664" i="7" s="1"/>
  <c r="C662" i="7"/>
  <c r="C661" i="7"/>
  <c r="C660" i="7"/>
  <c r="C659" i="7"/>
  <c r="E660" i="7" s="1"/>
  <c r="C658" i="7"/>
  <c r="C657" i="7"/>
  <c r="E658" i="7" s="1"/>
  <c r="C656" i="7"/>
  <c r="C655" i="7"/>
  <c r="E656" i="7" s="1"/>
  <c r="C654" i="7"/>
  <c r="C653" i="7"/>
  <c r="C652" i="7"/>
  <c r="C651" i="7"/>
  <c r="E652" i="7" s="1"/>
  <c r="C650" i="7"/>
  <c r="C649" i="7"/>
  <c r="E650" i="7" s="1"/>
  <c r="C648" i="7"/>
  <c r="C647" i="7"/>
  <c r="E648" i="7" s="1"/>
  <c r="C646" i="7"/>
  <c r="C645" i="7"/>
  <c r="C644" i="7"/>
  <c r="C643" i="7"/>
  <c r="E644" i="7" s="1"/>
  <c r="C642" i="7"/>
  <c r="C641" i="7"/>
  <c r="E642" i="7" s="1"/>
  <c r="C640" i="7"/>
  <c r="C639" i="7"/>
  <c r="E640" i="7" s="1"/>
  <c r="C638" i="7"/>
  <c r="C637" i="7"/>
  <c r="C636" i="7"/>
  <c r="C635" i="7"/>
  <c r="E636" i="7" s="1"/>
  <c r="C634" i="7"/>
  <c r="C633" i="7"/>
  <c r="E634" i="7" s="1"/>
  <c r="C632" i="7"/>
  <c r="C631" i="7"/>
  <c r="E632" i="7" s="1"/>
  <c r="C630" i="7"/>
  <c r="C629" i="7"/>
  <c r="C628" i="7"/>
  <c r="C627" i="7"/>
  <c r="E628" i="7" s="1"/>
  <c r="C626" i="7"/>
  <c r="C625" i="7"/>
  <c r="E626" i="7" s="1"/>
  <c r="C624" i="7"/>
  <c r="C623" i="7"/>
  <c r="C622" i="7"/>
  <c r="C621" i="7"/>
  <c r="C620" i="7"/>
  <c r="C619" i="7"/>
  <c r="E620" i="7" s="1"/>
  <c r="C618" i="7"/>
  <c r="C617" i="7"/>
  <c r="E618" i="7" s="1"/>
  <c r="C616" i="7"/>
  <c r="C615" i="7"/>
  <c r="E616" i="7" s="1"/>
  <c r="C614" i="7"/>
  <c r="C613" i="7"/>
  <c r="C612" i="7"/>
  <c r="C611" i="7"/>
  <c r="C610" i="7"/>
  <c r="C609" i="7"/>
  <c r="E610" i="7" s="1"/>
  <c r="C608" i="7"/>
  <c r="C607" i="7"/>
  <c r="E608" i="7" s="1"/>
  <c r="C606" i="7"/>
  <c r="C605" i="7"/>
  <c r="C604" i="7"/>
  <c r="C603" i="7"/>
  <c r="E604" i="7" s="1"/>
  <c r="C602" i="7"/>
  <c r="C601" i="7"/>
  <c r="E602" i="7" s="1"/>
  <c r="C600" i="7"/>
  <c r="C599" i="7"/>
  <c r="E600" i="7" s="1"/>
  <c r="C598" i="7"/>
  <c r="C597" i="7"/>
  <c r="C596" i="7"/>
  <c r="C595" i="7"/>
  <c r="E596" i="7" s="1"/>
  <c r="C594" i="7"/>
  <c r="C593" i="7"/>
  <c r="E594" i="7" s="1"/>
  <c r="C592" i="7"/>
  <c r="C591" i="7"/>
  <c r="E592" i="7" s="1"/>
  <c r="C590" i="7"/>
  <c r="C589" i="7"/>
  <c r="C588" i="7"/>
  <c r="C587" i="7"/>
  <c r="E588" i="7" s="1"/>
  <c r="C586" i="7"/>
  <c r="C585" i="7"/>
  <c r="E586" i="7" s="1"/>
  <c r="C584" i="7"/>
  <c r="C583" i="7"/>
  <c r="E584" i="7" s="1"/>
  <c r="C582" i="7"/>
  <c r="C581" i="7"/>
  <c r="C580" i="7"/>
  <c r="C579" i="7"/>
  <c r="E580" i="7" s="1"/>
  <c r="C578" i="7"/>
  <c r="E579" i="7" s="1"/>
  <c r="C577" i="7"/>
  <c r="E578" i="7" s="1"/>
  <c r="C576" i="7"/>
  <c r="C575" i="7"/>
  <c r="E576" i="7" s="1"/>
  <c r="C574" i="7"/>
  <c r="C573" i="7"/>
  <c r="C572" i="7"/>
  <c r="C571" i="7"/>
  <c r="E572" i="7" s="1"/>
  <c r="C570" i="7"/>
  <c r="C569" i="7"/>
  <c r="E570" i="7" s="1"/>
  <c r="C568" i="7"/>
  <c r="C567" i="7"/>
  <c r="E568" i="7" s="1"/>
  <c r="C566" i="7"/>
  <c r="C565" i="7"/>
  <c r="C564" i="7"/>
  <c r="C563" i="7"/>
  <c r="E564" i="7" s="1"/>
  <c r="C562" i="7"/>
  <c r="E563" i="7" s="1"/>
  <c r="C561" i="7"/>
  <c r="E562" i="7" s="1"/>
  <c r="C560" i="7"/>
  <c r="C559" i="7"/>
  <c r="E560" i="7" s="1"/>
  <c r="C558" i="7"/>
  <c r="C557" i="7"/>
  <c r="C556" i="7"/>
  <c r="C555" i="7"/>
  <c r="E556" i="7" s="1"/>
  <c r="C554" i="7"/>
  <c r="C553" i="7"/>
  <c r="E554" i="7" s="1"/>
  <c r="C552" i="7"/>
  <c r="C551" i="7"/>
  <c r="E552" i="7" s="1"/>
  <c r="C550" i="7"/>
  <c r="C549" i="7"/>
  <c r="C548" i="7"/>
  <c r="C547" i="7"/>
  <c r="E548" i="7" s="1"/>
  <c r="C546" i="7"/>
  <c r="C545" i="7"/>
  <c r="E546" i="7" s="1"/>
  <c r="C544" i="7"/>
  <c r="C543" i="7"/>
  <c r="E544" i="7" s="1"/>
  <c r="C542" i="7"/>
  <c r="C541" i="7"/>
  <c r="E542" i="7" s="1"/>
  <c r="C540" i="7"/>
  <c r="C539" i="7"/>
  <c r="E540" i="7" s="1"/>
  <c r="C538" i="7"/>
  <c r="C537" i="7"/>
  <c r="E538" i="7" s="1"/>
  <c r="C536" i="7"/>
  <c r="C535" i="7"/>
  <c r="E536" i="7" s="1"/>
  <c r="C534" i="7"/>
  <c r="C533" i="7"/>
  <c r="E534" i="7" s="1"/>
  <c r="C532" i="7"/>
  <c r="C531" i="7"/>
  <c r="E532" i="7" s="1"/>
  <c r="C530" i="7"/>
  <c r="C529" i="7"/>
  <c r="E530" i="7" s="1"/>
  <c r="C528" i="7"/>
  <c r="C527" i="7"/>
  <c r="E528" i="7" s="1"/>
  <c r="C526" i="7"/>
  <c r="C525" i="7"/>
  <c r="E526" i="7" s="1"/>
  <c r="C524" i="7"/>
  <c r="C523" i="7"/>
  <c r="E524" i="7" s="1"/>
  <c r="C522" i="7"/>
  <c r="C521" i="7"/>
  <c r="E522" i="7" s="1"/>
  <c r="C520" i="7"/>
  <c r="C519" i="7"/>
  <c r="E520" i="7" s="1"/>
  <c r="C518" i="7"/>
  <c r="C517" i="7"/>
  <c r="E518" i="7" s="1"/>
  <c r="C516" i="7"/>
  <c r="C515" i="7"/>
  <c r="E516" i="7" s="1"/>
  <c r="C514" i="7"/>
  <c r="C513" i="7"/>
  <c r="E514" i="7" s="1"/>
  <c r="C512" i="7"/>
  <c r="C511" i="7"/>
  <c r="E512" i="7" s="1"/>
  <c r="C510" i="7"/>
  <c r="C509" i="7"/>
  <c r="E510" i="7" s="1"/>
  <c r="C508" i="7"/>
  <c r="C507" i="7"/>
  <c r="E508" i="7" s="1"/>
  <c r="C506" i="7"/>
  <c r="C505" i="7"/>
  <c r="E506" i="7" s="1"/>
  <c r="C504" i="7"/>
  <c r="C503" i="7"/>
  <c r="E504" i="7" s="1"/>
  <c r="C502" i="7"/>
  <c r="C501" i="7"/>
  <c r="E502" i="7" s="1"/>
  <c r="C500" i="7"/>
  <c r="C499" i="7"/>
  <c r="E500" i="7" s="1"/>
  <c r="C498" i="7"/>
  <c r="C497" i="7"/>
  <c r="E498" i="7" s="1"/>
  <c r="C496" i="7"/>
  <c r="C495" i="7"/>
  <c r="E496" i="7" s="1"/>
  <c r="C494" i="7"/>
  <c r="C493" i="7"/>
  <c r="C492" i="7"/>
  <c r="C491" i="7"/>
  <c r="E492" i="7" s="1"/>
  <c r="C490" i="7"/>
  <c r="C489" i="7"/>
  <c r="E490" i="7" s="1"/>
  <c r="C488" i="7"/>
  <c r="C487" i="7"/>
  <c r="E488" i="7" s="1"/>
  <c r="C486" i="7"/>
  <c r="C485" i="7"/>
  <c r="E486" i="7" s="1"/>
  <c r="C484" i="7"/>
  <c r="C483" i="7"/>
  <c r="E484" i="7" s="1"/>
  <c r="C482" i="7"/>
  <c r="E483" i="7" s="1"/>
  <c r="C481" i="7"/>
  <c r="E482" i="7" s="1"/>
  <c r="C480" i="7"/>
  <c r="C479" i="7"/>
  <c r="E480" i="7" s="1"/>
  <c r="C478" i="7"/>
  <c r="C477" i="7"/>
  <c r="E478" i="7" s="1"/>
  <c r="C476" i="7"/>
  <c r="C475" i="7"/>
  <c r="E476" i="7" s="1"/>
  <c r="C474" i="7"/>
  <c r="C473" i="7"/>
  <c r="E474" i="7" s="1"/>
  <c r="C472" i="7"/>
  <c r="C471" i="7"/>
  <c r="E472" i="7" s="1"/>
  <c r="C470" i="7"/>
  <c r="C469" i="7"/>
  <c r="E470" i="7" s="1"/>
  <c r="C468" i="7"/>
  <c r="C467" i="7"/>
  <c r="E468" i="7" s="1"/>
  <c r="C466" i="7"/>
  <c r="C465" i="7"/>
  <c r="E466" i="7" s="1"/>
  <c r="C464" i="7"/>
  <c r="C463" i="7"/>
  <c r="E464" i="7" s="1"/>
  <c r="C462" i="7"/>
  <c r="C461" i="7"/>
  <c r="E462" i="7" s="1"/>
  <c r="C460" i="7"/>
  <c r="C459" i="7"/>
  <c r="E460" i="7" s="1"/>
  <c r="C458" i="7"/>
  <c r="C457" i="7"/>
  <c r="E458" i="7" s="1"/>
  <c r="C456" i="7"/>
  <c r="C455" i="7"/>
  <c r="E456" i="7" s="1"/>
  <c r="C454" i="7"/>
  <c r="C453" i="7"/>
  <c r="E454" i="7" s="1"/>
  <c r="C452" i="7"/>
  <c r="C451" i="7"/>
  <c r="E452" i="7" s="1"/>
  <c r="C450" i="7"/>
  <c r="C449" i="7"/>
  <c r="E450" i="7" s="1"/>
  <c r="C448" i="7"/>
  <c r="C447" i="7"/>
  <c r="E448" i="7" s="1"/>
  <c r="C446" i="7"/>
  <c r="C445" i="7"/>
  <c r="E446" i="7" s="1"/>
  <c r="C444" i="7"/>
  <c r="C443" i="7"/>
  <c r="E444" i="7" s="1"/>
  <c r="C442" i="7"/>
  <c r="C441" i="7"/>
  <c r="E442" i="7" s="1"/>
  <c r="C440" i="7"/>
  <c r="C439" i="7"/>
  <c r="E440" i="7" s="1"/>
  <c r="C438" i="7"/>
  <c r="C437" i="7"/>
  <c r="E438" i="7" s="1"/>
  <c r="C436" i="7"/>
  <c r="C435" i="7"/>
  <c r="E436" i="7" s="1"/>
  <c r="C434" i="7"/>
  <c r="C433" i="7"/>
  <c r="E434" i="7" s="1"/>
  <c r="C432" i="7"/>
  <c r="C431" i="7"/>
  <c r="E432" i="7" s="1"/>
  <c r="C430" i="7"/>
  <c r="C429" i="7"/>
  <c r="E430" i="7" s="1"/>
  <c r="C428" i="7"/>
  <c r="C427" i="7"/>
  <c r="E428" i="7" s="1"/>
  <c r="C426" i="7"/>
  <c r="C425" i="7"/>
  <c r="E426" i="7" s="1"/>
  <c r="C424" i="7"/>
  <c r="C423" i="7"/>
  <c r="E424" i="7" s="1"/>
  <c r="C422" i="7"/>
  <c r="C421" i="7"/>
  <c r="E422" i="7" s="1"/>
  <c r="C420" i="7"/>
  <c r="C419" i="7"/>
  <c r="E420" i="7" s="1"/>
  <c r="C418" i="7"/>
  <c r="C417" i="7"/>
  <c r="E418" i="7" s="1"/>
  <c r="C416" i="7"/>
  <c r="C415" i="7"/>
  <c r="E416" i="7" s="1"/>
  <c r="C414" i="7"/>
  <c r="C413" i="7"/>
  <c r="E414" i="7" s="1"/>
  <c r="C412" i="7"/>
  <c r="C411" i="7"/>
  <c r="E412" i="7" s="1"/>
  <c r="C410" i="7"/>
  <c r="E411" i="7" s="1"/>
  <c r="C409" i="7"/>
  <c r="E410" i="7" s="1"/>
  <c r="C408" i="7"/>
  <c r="C407" i="7"/>
  <c r="E408" i="7" s="1"/>
  <c r="C406" i="7"/>
  <c r="C405" i="7"/>
  <c r="E406" i="7" s="1"/>
  <c r="C404" i="7"/>
  <c r="C403" i="7"/>
  <c r="E404" i="7" s="1"/>
  <c r="C402" i="7"/>
  <c r="C401" i="7"/>
  <c r="E402" i="7" s="1"/>
  <c r="C400" i="7"/>
  <c r="C399" i="7"/>
  <c r="E400" i="7" s="1"/>
  <c r="C398" i="7"/>
  <c r="C397" i="7"/>
  <c r="E398" i="7" s="1"/>
  <c r="C396" i="7"/>
  <c r="C395" i="7"/>
  <c r="E396" i="7" s="1"/>
  <c r="C394" i="7"/>
  <c r="C393" i="7"/>
  <c r="E394" i="7" s="1"/>
  <c r="C392" i="7"/>
  <c r="C391" i="7"/>
  <c r="E392" i="7" s="1"/>
  <c r="C390" i="7"/>
  <c r="C389" i="7"/>
  <c r="E390" i="7" s="1"/>
  <c r="C388" i="7"/>
  <c r="C387" i="7"/>
  <c r="E388" i="7" s="1"/>
  <c r="C386" i="7"/>
  <c r="C385" i="7"/>
  <c r="E386" i="7" s="1"/>
  <c r="C384" i="7"/>
  <c r="C383" i="7"/>
  <c r="E384" i="7" s="1"/>
  <c r="C382" i="7"/>
  <c r="C381" i="7"/>
  <c r="E382" i="7" s="1"/>
  <c r="C380" i="7"/>
  <c r="C379" i="7"/>
  <c r="E380" i="7" s="1"/>
  <c r="C378" i="7"/>
  <c r="C377" i="7"/>
  <c r="E378" i="7" s="1"/>
  <c r="C376" i="7"/>
  <c r="C375" i="7"/>
  <c r="E376" i="7" s="1"/>
  <c r="C374" i="7"/>
  <c r="C373" i="7"/>
  <c r="E374" i="7" s="1"/>
  <c r="C372" i="7"/>
  <c r="C371" i="7"/>
  <c r="E372" i="7" s="1"/>
  <c r="C370" i="7"/>
  <c r="C369" i="7"/>
  <c r="E370" i="7" s="1"/>
  <c r="C368" i="7"/>
  <c r="C367" i="7"/>
  <c r="E368" i="7" s="1"/>
  <c r="C366" i="7"/>
  <c r="C365" i="7"/>
  <c r="E366" i="7" s="1"/>
  <c r="C364" i="7"/>
  <c r="C363" i="7"/>
  <c r="E364" i="7" s="1"/>
  <c r="C362" i="7"/>
  <c r="C361" i="7"/>
  <c r="E362" i="7" s="1"/>
  <c r="C360" i="7"/>
  <c r="C359" i="7"/>
  <c r="E360" i="7" s="1"/>
  <c r="C358" i="7"/>
  <c r="C357" i="7"/>
  <c r="E358" i="7" s="1"/>
  <c r="C356" i="7"/>
  <c r="C355" i="7"/>
  <c r="E356" i="7" s="1"/>
  <c r="C354" i="7"/>
  <c r="C353" i="7"/>
  <c r="E353" i="7" s="1"/>
  <c r="C352" i="7"/>
  <c r="C351" i="7"/>
  <c r="E352" i="7" s="1"/>
  <c r="C350" i="7"/>
  <c r="C349" i="7"/>
  <c r="E350" i="7" s="1"/>
  <c r="C348" i="7"/>
  <c r="C347" i="7"/>
  <c r="E348" i="7" s="1"/>
  <c r="C346" i="7"/>
  <c r="C345" i="7"/>
  <c r="E346" i="7" s="1"/>
  <c r="C344" i="7"/>
  <c r="E345" i="7" s="1"/>
  <c r="C343" i="7"/>
  <c r="E344" i="7" s="1"/>
  <c r="C342" i="7"/>
  <c r="C341" i="7"/>
  <c r="E342" i="7" s="1"/>
  <c r="C340" i="7"/>
  <c r="C339" i="7"/>
  <c r="E340" i="7" s="1"/>
  <c r="C338" i="7"/>
  <c r="C337" i="7"/>
  <c r="E338" i="7" s="1"/>
  <c r="C336" i="7"/>
  <c r="C335" i="7"/>
  <c r="E336" i="7" s="1"/>
  <c r="C334" i="7"/>
  <c r="C333" i="7"/>
  <c r="E334" i="7" s="1"/>
  <c r="C332" i="7"/>
  <c r="C331" i="7"/>
  <c r="E332" i="7" s="1"/>
  <c r="C330" i="7"/>
  <c r="C329" i="7"/>
  <c r="E330" i="7" s="1"/>
  <c r="C328" i="7"/>
  <c r="C327" i="7"/>
  <c r="E328" i="7" s="1"/>
  <c r="C326" i="7"/>
  <c r="C325" i="7"/>
  <c r="E326" i="7" s="1"/>
  <c r="C324" i="7"/>
  <c r="C323" i="7"/>
  <c r="E324" i="7" s="1"/>
  <c r="C322" i="7"/>
  <c r="C321" i="7"/>
  <c r="E322" i="7" s="1"/>
  <c r="C320" i="7"/>
  <c r="C319" i="7"/>
  <c r="E320" i="7" s="1"/>
  <c r="C318" i="7"/>
  <c r="C317" i="7"/>
  <c r="E318" i="7" s="1"/>
  <c r="C316" i="7"/>
  <c r="C315" i="7"/>
  <c r="E316" i="7" s="1"/>
  <c r="C314" i="7"/>
  <c r="C313" i="7"/>
  <c r="E314" i="7" s="1"/>
  <c r="C312" i="7"/>
  <c r="C311" i="7"/>
  <c r="E312" i="7" s="1"/>
  <c r="C310" i="7"/>
  <c r="C309" i="7"/>
  <c r="E310" i="7" s="1"/>
  <c r="C308" i="7"/>
  <c r="C307" i="7"/>
  <c r="E308" i="7" s="1"/>
  <c r="C306" i="7"/>
  <c r="C305" i="7"/>
  <c r="E306" i="7" s="1"/>
  <c r="C304" i="7"/>
  <c r="C303" i="7"/>
  <c r="E304" i="7" s="1"/>
  <c r="C302" i="7"/>
  <c r="C301" i="7"/>
  <c r="E302" i="7" s="1"/>
  <c r="C300" i="7"/>
  <c r="C299" i="7"/>
  <c r="E300" i="7" s="1"/>
  <c r="C298" i="7"/>
  <c r="C297" i="7"/>
  <c r="E298" i="7" s="1"/>
  <c r="C296" i="7"/>
  <c r="C295" i="7"/>
  <c r="E296" i="7" s="1"/>
  <c r="C294" i="7"/>
  <c r="C293" i="7"/>
  <c r="E294" i="7" s="1"/>
  <c r="C292" i="7"/>
  <c r="C291" i="7"/>
  <c r="E292" i="7" s="1"/>
  <c r="C290" i="7"/>
  <c r="C289" i="7"/>
  <c r="E290" i="7" s="1"/>
  <c r="C288" i="7"/>
  <c r="E289" i="7" s="1"/>
  <c r="C287" i="7"/>
  <c r="E288" i="7" s="1"/>
  <c r="C286" i="7"/>
  <c r="C285" i="7"/>
  <c r="E286" i="7" s="1"/>
  <c r="C284" i="7"/>
  <c r="C283" i="7"/>
  <c r="E284" i="7" s="1"/>
  <c r="C282" i="7"/>
  <c r="C281" i="7"/>
  <c r="E282" i="7" s="1"/>
  <c r="C280" i="7"/>
  <c r="C279" i="7"/>
  <c r="E280" i="7" s="1"/>
  <c r="C278" i="7"/>
  <c r="C277" i="7"/>
  <c r="E278" i="7" s="1"/>
  <c r="C276" i="7"/>
  <c r="C275" i="7"/>
  <c r="E276" i="7" s="1"/>
  <c r="C274" i="7"/>
  <c r="C273" i="7"/>
  <c r="E274" i="7" s="1"/>
  <c r="C272" i="7"/>
  <c r="C271" i="7"/>
  <c r="E272" i="7" s="1"/>
  <c r="C270" i="7"/>
  <c r="C269" i="7"/>
  <c r="E270" i="7" s="1"/>
  <c r="C268" i="7"/>
  <c r="C267" i="7"/>
  <c r="E268" i="7" s="1"/>
  <c r="C266" i="7"/>
  <c r="C265" i="7"/>
  <c r="E266" i="7" s="1"/>
  <c r="C264" i="7"/>
  <c r="C263" i="7"/>
  <c r="E264" i="7" s="1"/>
  <c r="C262" i="7"/>
  <c r="C261" i="7"/>
  <c r="E262" i="7" s="1"/>
  <c r="C260" i="7"/>
  <c r="C259" i="7"/>
  <c r="E260" i="7" s="1"/>
  <c r="C258" i="7"/>
  <c r="C257" i="7"/>
  <c r="E258" i="7" s="1"/>
  <c r="C256" i="7"/>
  <c r="C255" i="7"/>
  <c r="E256" i="7" s="1"/>
  <c r="C254" i="7"/>
  <c r="C253" i="7"/>
  <c r="E254" i="7" s="1"/>
  <c r="C252" i="7"/>
  <c r="C251" i="7"/>
  <c r="E252" i="7" s="1"/>
  <c r="C250" i="7"/>
  <c r="C249" i="7"/>
  <c r="E250" i="7" s="1"/>
  <c r="C248" i="7"/>
  <c r="C247" i="7"/>
  <c r="E248" i="7" s="1"/>
  <c r="C246" i="7"/>
  <c r="C245" i="7"/>
  <c r="E246" i="7" s="1"/>
  <c r="C244" i="7"/>
  <c r="E245" i="7" s="1"/>
  <c r="C243" i="7"/>
  <c r="C242" i="7"/>
  <c r="C241" i="7"/>
  <c r="E242" i="7" s="1"/>
  <c r="C240" i="7"/>
  <c r="C239" i="7"/>
  <c r="E240" i="7" s="1"/>
  <c r="C238" i="7"/>
  <c r="C237" i="7"/>
  <c r="E238" i="7" s="1"/>
  <c r="C236" i="7"/>
  <c r="E237" i="7" s="1"/>
  <c r="C235" i="7"/>
  <c r="E236" i="7" s="1"/>
  <c r="C234" i="7"/>
  <c r="C233" i="7"/>
  <c r="E234" i="7" s="1"/>
  <c r="C232" i="7"/>
  <c r="C231" i="7"/>
  <c r="E232" i="7" s="1"/>
  <c r="C230" i="7"/>
  <c r="C229" i="7"/>
  <c r="E230" i="7" s="1"/>
  <c r="C228" i="7"/>
  <c r="E229" i="7" s="1"/>
  <c r="C227" i="7"/>
  <c r="E228" i="7" s="1"/>
  <c r="C226" i="7"/>
  <c r="C225" i="7"/>
  <c r="E226" i="7" s="1"/>
  <c r="C224" i="7"/>
  <c r="C223" i="7"/>
  <c r="E224" i="7" s="1"/>
  <c r="C222" i="7"/>
  <c r="C221" i="7"/>
  <c r="E222" i="7" s="1"/>
  <c r="C220" i="7"/>
  <c r="E221" i="7" s="1"/>
  <c r="C219" i="7"/>
  <c r="E220" i="7" s="1"/>
  <c r="C218" i="7"/>
  <c r="C217" i="7"/>
  <c r="E218" i="7" s="1"/>
  <c r="C216" i="7"/>
  <c r="C215" i="7"/>
  <c r="E216" i="7" s="1"/>
  <c r="C214" i="7"/>
  <c r="C213" i="7"/>
  <c r="E214" i="7" s="1"/>
  <c r="C212" i="7"/>
  <c r="E213" i="7" s="1"/>
  <c r="C211" i="7"/>
  <c r="E212" i="7" s="1"/>
  <c r="C210" i="7"/>
  <c r="C209" i="7"/>
  <c r="E210" i="7" s="1"/>
  <c r="C208" i="7"/>
  <c r="C207" i="7"/>
  <c r="E208" i="7" s="1"/>
  <c r="C206" i="7"/>
  <c r="C205" i="7"/>
  <c r="E206" i="7" s="1"/>
  <c r="C204" i="7"/>
  <c r="E205" i="7" s="1"/>
  <c r="C203" i="7"/>
  <c r="E204" i="7" s="1"/>
  <c r="C202" i="7"/>
  <c r="C201" i="7"/>
  <c r="E202" i="7" s="1"/>
  <c r="C200" i="7"/>
  <c r="C199" i="7"/>
  <c r="E200" i="7" s="1"/>
  <c r="C198" i="7"/>
  <c r="C197" i="7"/>
  <c r="E198" i="7" s="1"/>
  <c r="C196" i="7"/>
  <c r="E197" i="7" s="1"/>
  <c r="C195" i="7"/>
  <c r="E196" i="7" s="1"/>
  <c r="C194" i="7"/>
  <c r="C193" i="7"/>
  <c r="E194" i="7" s="1"/>
  <c r="C192" i="7"/>
  <c r="C191" i="7"/>
  <c r="E192" i="7" s="1"/>
  <c r="C190" i="7"/>
  <c r="C189" i="7"/>
  <c r="E190" i="7" s="1"/>
  <c r="C188" i="7"/>
  <c r="E189" i="7" s="1"/>
  <c r="C187" i="7"/>
  <c r="E188" i="7" s="1"/>
  <c r="C186" i="7"/>
  <c r="C185" i="7"/>
  <c r="E186" i="7" s="1"/>
  <c r="C184" i="7"/>
  <c r="C183" i="7"/>
  <c r="E184" i="7" s="1"/>
  <c r="C182" i="7"/>
  <c r="C181" i="7"/>
  <c r="E182" i="7" s="1"/>
  <c r="C180" i="7"/>
  <c r="E181" i="7" s="1"/>
  <c r="C179" i="7"/>
  <c r="C178" i="7"/>
  <c r="C177" i="7"/>
  <c r="E178" i="7" s="1"/>
  <c r="C176" i="7"/>
  <c r="C175" i="7"/>
  <c r="E176" i="7" s="1"/>
  <c r="C174" i="7"/>
  <c r="C173" i="7"/>
  <c r="E174" i="7" s="1"/>
  <c r="C172" i="7"/>
  <c r="E173" i="7" s="1"/>
  <c r="C171" i="7"/>
  <c r="E172" i="7" s="1"/>
  <c r="C170" i="7"/>
  <c r="C169" i="7"/>
  <c r="E170" i="7" s="1"/>
  <c r="C168" i="7"/>
  <c r="C167" i="7"/>
  <c r="E168" i="7" s="1"/>
  <c r="C166" i="7"/>
  <c r="C165" i="7"/>
  <c r="E166" i="7" s="1"/>
  <c r="C164" i="7"/>
  <c r="E165" i="7" s="1"/>
  <c r="C163" i="7"/>
  <c r="E164" i="7" s="1"/>
  <c r="C162" i="7"/>
  <c r="C161" i="7"/>
  <c r="E162" i="7" s="1"/>
  <c r="C160" i="7"/>
  <c r="C159" i="7"/>
  <c r="E160" i="7" s="1"/>
  <c r="C158" i="7"/>
  <c r="C157" i="7"/>
  <c r="E158" i="7" s="1"/>
  <c r="C156" i="7"/>
  <c r="E157" i="7" s="1"/>
  <c r="C155" i="7"/>
  <c r="E156" i="7" s="1"/>
  <c r="C154" i="7"/>
  <c r="C153" i="7"/>
  <c r="E154" i="7" s="1"/>
  <c r="C152" i="7"/>
  <c r="C151" i="7"/>
  <c r="E152" i="7" s="1"/>
  <c r="C150" i="7"/>
  <c r="C149" i="7"/>
  <c r="E150" i="7" s="1"/>
  <c r="C148" i="7"/>
  <c r="E149" i="7" s="1"/>
  <c r="C147" i="7"/>
  <c r="E148" i="7" s="1"/>
  <c r="C146" i="7"/>
  <c r="C145" i="7"/>
  <c r="E146" i="7" s="1"/>
  <c r="C144" i="7"/>
  <c r="C143" i="7"/>
  <c r="E144" i="7" s="1"/>
  <c r="C142" i="7"/>
  <c r="C141" i="7"/>
  <c r="E142" i="7" s="1"/>
  <c r="C140" i="7"/>
  <c r="E141" i="7" s="1"/>
  <c r="C139" i="7"/>
  <c r="E140" i="7" s="1"/>
  <c r="C138" i="7"/>
  <c r="C137" i="7"/>
  <c r="E138" i="7" s="1"/>
  <c r="C136" i="7"/>
  <c r="C135" i="7"/>
  <c r="E136" i="7" s="1"/>
  <c r="C134" i="7"/>
  <c r="C133" i="7"/>
  <c r="E134" i="7" s="1"/>
  <c r="C132" i="7"/>
  <c r="E133" i="7" s="1"/>
  <c r="C131" i="7"/>
  <c r="E132" i="7" s="1"/>
  <c r="C130" i="7"/>
  <c r="E131" i="7" s="1"/>
  <c r="C129" i="7"/>
  <c r="E130" i="7" s="1"/>
  <c r="C128" i="7"/>
  <c r="C127" i="7"/>
  <c r="E128" i="7" s="1"/>
  <c r="C126" i="7"/>
  <c r="C125" i="7"/>
  <c r="E126" i="7" s="1"/>
  <c r="C124" i="7"/>
  <c r="E125" i="7" s="1"/>
  <c r="C123" i="7"/>
  <c r="E124" i="7" s="1"/>
  <c r="C122" i="7"/>
  <c r="C121" i="7"/>
  <c r="E122" i="7" s="1"/>
  <c r="C120" i="7"/>
  <c r="C119" i="7"/>
  <c r="E120" i="7" s="1"/>
  <c r="C118" i="7"/>
  <c r="C117" i="7"/>
  <c r="E118" i="7" s="1"/>
  <c r="C116" i="7"/>
  <c r="E117" i="7" s="1"/>
  <c r="C115" i="7"/>
  <c r="E116" i="7" s="1"/>
  <c r="C114" i="7"/>
  <c r="C113" i="7"/>
  <c r="E114" i="7" s="1"/>
  <c r="C112" i="7"/>
  <c r="C111" i="7"/>
  <c r="E112" i="7" s="1"/>
  <c r="C110" i="7"/>
  <c r="E111" i="7" s="1"/>
  <c r="C109" i="7"/>
  <c r="E110" i="7" s="1"/>
  <c r="C108" i="7"/>
  <c r="E109" i="7" s="1"/>
  <c r="C107" i="7"/>
  <c r="E108" i="7" s="1"/>
  <c r="C106" i="7"/>
  <c r="C105" i="7"/>
  <c r="E106" i="7" s="1"/>
  <c r="C104" i="7"/>
  <c r="C103" i="7"/>
  <c r="E104" i="7" s="1"/>
  <c r="C102" i="7"/>
  <c r="E103" i="7" s="1"/>
  <c r="C101" i="7"/>
  <c r="E102" i="7" s="1"/>
  <c r="C100" i="7"/>
  <c r="E101" i="7" s="1"/>
  <c r="C99" i="7"/>
  <c r="E100" i="7" s="1"/>
  <c r="C98" i="7"/>
  <c r="C97" i="7"/>
  <c r="E98" i="7" s="1"/>
  <c r="C96" i="7"/>
  <c r="C95" i="7"/>
  <c r="E96" i="7" s="1"/>
  <c r="C94" i="7"/>
  <c r="E95" i="7" s="1"/>
  <c r="C93" i="7"/>
  <c r="E94" i="7" s="1"/>
  <c r="C92" i="7"/>
  <c r="E93" i="7" s="1"/>
  <c r="C91" i="7"/>
  <c r="E92" i="7" s="1"/>
  <c r="C90" i="7"/>
  <c r="C89" i="7"/>
  <c r="E90" i="7" s="1"/>
  <c r="C88" i="7"/>
  <c r="C87" i="7"/>
  <c r="E88" i="7" s="1"/>
  <c r="C86" i="7"/>
  <c r="E87" i="7" s="1"/>
  <c r="C85" i="7"/>
  <c r="E86" i="7" s="1"/>
  <c r="C84" i="7"/>
  <c r="E85" i="7" s="1"/>
  <c r="C83" i="7"/>
  <c r="E84" i="7" s="1"/>
  <c r="C82" i="7"/>
  <c r="C81" i="7"/>
  <c r="E82" i="7" s="1"/>
  <c r="C80" i="7"/>
  <c r="C79" i="7"/>
  <c r="E80" i="7" s="1"/>
  <c r="C78" i="7"/>
  <c r="E79" i="7" s="1"/>
  <c r="C77" i="7"/>
  <c r="E78" i="7" s="1"/>
  <c r="C76" i="7"/>
  <c r="E77" i="7" s="1"/>
  <c r="C75" i="7"/>
  <c r="E76" i="7" s="1"/>
  <c r="C74" i="7"/>
  <c r="C73" i="7"/>
  <c r="E74" i="7" s="1"/>
  <c r="C72" i="7"/>
  <c r="C71" i="7"/>
  <c r="E72" i="7" s="1"/>
  <c r="C70" i="7"/>
  <c r="E71" i="7" s="1"/>
  <c r="C69" i="7"/>
  <c r="E70" i="7" s="1"/>
  <c r="C68" i="7"/>
  <c r="E69" i="7" s="1"/>
  <c r="C67" i="7"/>
  <c r="E68" i="7" s="1"/>
  <c r="C66" i="7"/>
  <c r="C65" i="7"/>
  <c r="E66" i="7" s="1"/>
  <c r="C64" i="7"/>
  <c r="C63" i="7"/>
  <c r="E64" i="7" s="1"/>
  <c r="C62" i="7"/>
  <c r="E63" i="7" s="1"/>
  <c r="C61" i="7"/>
  <c r="E62" i="7" s="1"/>
  <c r="C60" i="7"/>
  <c r="E61" i="7" s="1"/>
  <c r="C59" i="7"/>
  <c r="E60" i="7" s="1"/>
  <c r="C58" i="7"/>
  <c r="C57" i="7"/>
  <c r="E58" i="7" s="1"/>
  <c r="C56" i="7"/>
  <c r="C55" i="7"/>
  <c r="E56" i="7" s="1"/>
  <c r="C54" i="7"/>
  <c r="E55" i="7" s="1"/>
  <c r="C53" i="7"/>
  <c r="E54" i="7" s="1"/>
  <c r="C52" i="7"/>
  <c r="E53" i="7" s="1"/>
  <c r="C51" i="7"/>
  <c r="E52" i="7" s="1"/>
  <c r="C50" i="7"/>
  <c r="C49" i="7"/>
  <c r="E50" i="7" s="1"/>
  <c r="C48" i="7"/>
  <c r="C47" i="7"/>
  <c r="E48" i="7" s="1"/>
  <c r="C46" i="7"/>
  <c r="E47" i="7" s="1"/>
  <c r="C45" i="7"/>
  <c r="E46" i="7" s="1"/>
  <c r="C44" i="7"/>
  <c r="E45" i="7" s="1"/>
  <c r="C43" i="7"/>
  <c r="E44" i="7" s="1"/>
  <c r="C42" i="7"/>
  <c r="C41" i="7"/>
  <c r="E42" i="7" s="1"/>
  <c r="C40" i="7"/>
  <c r="C39" i="7"/>
  <c r="E40" i="7" s="1"/>
  <c r="C38" i="7"/>
  <c r="E39" i="7" s="1"/>
  <c r="C37" i="7"/>
  <c r="E38" i="7" s="1"/>
  <c r="C36" i="7"/>
  <c r="C35" i="7"/>
  <c r="E36" i="7" s="1"/>
  <c r="C34" i="7"/>
  <c r="C33" i="7"/>
  <c r="E34" i="7" s="1"/>
  <c r="C32" i="7"/>
  <c r="C31" i="7"/>
  <c r="E32" i="7" s="1"/>
  <c r="C30" i="7"/>
  <c r="E31" i="7" s="1"/>
  <c r="C29" i="7"/>
  <c r="E30" i="7" s="1"/>
  <c r="C28" i="7"/>
  <c r="E29" i="7" s="1"/>
  <c r="C27" i="7"/>
  <c r="E28" i="7" s="1"/>
  <c r="C26" i="7"/>
  <c r="C25" i="7"/>
  <c r="E26" i="7" s="1"/>
  <c r="C24" i="7"/>
  <c r="C23" i="7"/>
  <c r="E24" i="7" s="1"/>
  <c r="C22" i="7"/>
  <c r="E23" i="7" s="1"/>
  <c r="C21" i="7"/>
  <c r="E22" i="7" s="1"/>
  <c r="C20" i="7"/>
  <c r="E21" i="7" s="1"/>
  <c r="C19" i="7"/>
  <c r="E20" i="7" s="1"/>
  <c r="C18" i="7"/>
  <c r="C17" i="7"/>
  <c r="E18" i="7" s="1"/>
  <c r="C16" i="7"/>
  <c r="C15" i="7"/>
  <c r="E16" i="7" s="1"/>
  <c r="C14" i="7"/>
  <c r="E15" i="7" s="1"/>
  <c r="C13" i="7"/>
  <c r="E14" i="7" s="1"/>
  <c r="C12" i="7"/>
  <c r="E13" i="7" s="1"/>
  <c r="C11" i="7"/>
  <c r="E12" i="7" s="1"/>
  <c r="C10" i="7"/>
  <c r="C9" i="7"/>
  <c r="E10" i="7" s="1"/>
  <c r="C8" i="7"/>
  <c r="C7" i="7"/>
  <c r="E8" i="7" s="1"/>
  <c r="C6" i="7"/>
  <c r="E7" i="7" s="1"/>
  <c r="C5" i="7"/>
  <c r="E6" i="7" s="1"/>
  <c r="C4" i="7"/>
  <c r="E5" i="7" s="1"/>
  <c r="C3" i="7"/>
  <c r="E4" i="7" s="1"/>
  <c r="C2" i="7"/>
  <c r="B6" i="6"/>
  <c r="B17" i="2"/>
  <c r="C17" i="2"/>
  <c r="D17" i="2"/>
  <c r="E17" i="2"/>
  <c r="F17" i="2"/>
  <c r="B18" i="2"/>
  <c r="C18" i="2"/>
  <c r="D18" i="2"/>
  <c r="E18" i="2"/>
  <c r="F18" i="2"/>
  <c r="B4" i="2"/>
  <c r="C4" i="2"/>
  <c r="D4" i="2"/>
  <c r="D5" i="2"/>
  <c r="E4" i="2"/>
  <c r="E5" i="2"/>
  <c r="F4" i="2"/>
  <c r="B5" i="2"/>
  <c r="C5" i="2"/>
  <c r="F5" i="2"/>
  <c r="B4" i="8" s="1"/>
  <c r="B6" i="2"/>
  <c r="C6" i="2"/>
  <c r="D6" i="2"/>
  <c r="E6" i="2"/>
  <c r="F6" i="2"/>
  <c r="B7" i="2"/>
  <c r="C7" i="2"/>
  <c r="D7" i="2"/>
  <c r="E7" i="2"/>
  <c r="F7" i="2"/>
  <c r="B8" i="2"/>
  <c r="C8" i="2"/>
  <c r="D8" i="2"/>
  <c r="E8" i="2"/>
  <c r="F8" i="2"/>
  <c r="B10" i="2"/>
  <c r="C10" i="2"/>
  <c r="D10" i="2"/>
  <c r="E10" i="2"/>
  <c r="F10" i="2"/>
  <c r="B11" i="2"/>
  <c r="C11" i="2"/>
  <c r="D11" i="2"/>
  <c r="E11" i="2"/>
  <c r="F11" i="2"/>
  <c r="B12" i="2"/>
  <c r="C12" i="2"/>
  <c r="D12" i="2"/>
  <c r="E12" i="2"/>
  <c r="F12" i="2"/>
  <c r="B13" i="2"/>
  <c r="C13" i="2"/>
  <c r="D13" i="2"/>
  <c r="E13" i="2"/>
  <c r="F13" i="2"/>
  <c r="F16" i="2" s="1"/>
  <c r="B14" i="2"/>
  <c r="C14" i="2"/>
  <c r="D14" i="2"/>
  <c r="E14" i="2"/>
  <c r="F14" i="2"/>
  <c r="E1" i="6"/>
  <c r="B3" i="2"/>
  <c r="C3" i="2"/>
  <c r="D3" i="2"/>
  <c r="E3" i="2"/>
  <c r="F3" i="2"/>
  <c r="B3" i="1"/>
  <c r="C3" i="1"/>
  <c r="D3" i="1"/>
  <c r="E3" i="1"/>
  <c r="F3" i="1"/>
  <c r="E1163" i="7" l="1"/>
  <c r="E449" i="7"/>
  <c r="E354" i="7"/>
  <c r="E841" i="7"/>
  <c r="E179" i="7"/>
  <c r="E715" i="7"/>
  <c r="E1115" i="7"/>
  <c r="E1218" i="7"/>
  <c r="E905" i="7"/>
  <c r="E881" i="7"/>
  <c r="E785" i="7"/>
  <c r="E703" i="7"/>
  <c r="E935" i="7"/>
  <c r="E999" i="7"/>
  <c r="E1160" i="7"/>
  <c r="E1168" i="7"/>
  <c r="E1176" i="7"/>
  <c r="E1184" i="7"/>
  <c r="E1192" i="7"/>
  <c r="E1200" i="7"/>
  <c r="E1208" i="7"/>
  <c r="E1216" i="7"/>
  <c r="E1224" i="7"/>
  <c r="E1232" i="7"/>
  <c r="E1240" i="7"/>
  <c r="E497" i="7"/>
  <c r="E794" i="7"/>
  <c r="E593" i="7"/>
  <c r="E49" i="7"/>
  <c r="E113" i="7"/>
  <c r="E217" i="7"/>
  <c r="E241" i="7"/>
  <c r="E265" i="7"/>
  <c r="E281" i="7"/>
  <c r="E305" i="7"/>
  <c r="E329" i="7"/>
  <c r="E393" i="7"/>
  <c r="E417" i="7"/>
  <c r="E529" i="7"/>
  <c r="E545" i="7"/>
  <c r="E577" i="7"/>
  <c r="E625" i="7"/>
  <c r="E769" i="7"/>
  <c r="E817" i="7"/>
  <c r="E833" i="7"/>
  <c r="E857" i="7"/>
  <c r="E889" i="7"/>
  <c r="E913" i="7"/>
  <c r="E977" i="7"/>
  <c r="E1177" i="7"/>
  <c r="E1185" i="7"/>
  <c r="E1193" i="7"/>
  <c r="E1201" i="7"/>
  <c r="E1225" i="7"/>
  <c r="E1233" i="7"/>
  <c r="E704" i="7"/>
  <c r="E550" i="7"/>
  <c r="E558" i="7"/>
  <c r="E566" i="7"/>
  <c r="E574" i="7"/>
  <c r="E582" i="7"/>
  <c r="E590" i="7"/>
  <c r="E598" i="7"/>
  <c r="E606" i="7"/>
  <c r="E614" i="7"/>
  <c r="E622" i="7"/>
  <c r="E630" i="7"/>
  <c r="E638" i="7"/>
  <c r="E646" i="7"/>
  <c r="E654" i="7"/>
  <c r="E662" i="7"/>
  <c r="E670" i="7"/>
  <c r="E678" i="7"/>
  <c r="E694" i="7"/>
  <c r="E702" i="7"/>
  <c r="E710" i="7"/>
  <c r="E718" i="7"/>
  <c r="E726" i="7"/>
  <c r="E734" i="7"/>
  <c r="E750" i="7"/>
  <c r="E758" i="7"/>
  <c r="E766" i="7"/>
  <c r="E774" i="7"/>
  <c r="E782" i="7"/>
  <c r="E790" i="7"/>
  <c r="E798" i="7"/>
  <c r="E806" i="7"/>
  <c r="E814" i="7"/>
  <c r="E822" i="7"/>
  <c r="E830" i="7"/>
  <c r="E838" i="7"/>
  <c r="E846" i="7"/>
  <c r="E854" i="7"/>
  <c r="E862" i="7"/>
  <c r="E870" i="7"/>
  <c r="E878" i="7"/>
  <c r="E886" i="7"/>
  <c r="E894" i="7"/>
  <c r="E902" i="7"/>
  <c r="E910" i="7"/>
  <c r="E918" i="7"/>
  <c r="E926" i="7"/>
  <c r="E934" i="7"/>
  <c r="E942" i="7"/>
  <c r="E950" i="7"/>
  <c r="E958" i="7"/>
  <c r="E966" i="7"/>
  <c r="E974" i="7"/>
  <c r="E982" i="7"/>
  <c r="E998" i="7"/>
  <c r="E1006" i="7"/>
  <c r="E1014" i="7"/>
  <c r="E1022" i="7"/>
  <c r="E1038" i="7"/>
  <c r="E1046" i="7"/>
  <c r="E1054" i="7"/>
  <c r="E1070" i="7"/>
  <c r="E1086" i="7"/>
  <c r="E1094" i="7"/>
  <c r="E1102" i="7"/>
  <c r="E1118" i="7"/>
  <c r="E1134" i="7"/>
  <c r="E1142" i="7"/>
  <c r="E1150" i="7"/>
  <c r="E1166" i="7"/>
  <c r="E1174" i="7"/>
  <c r="E1182" i="7"/>
  <c r="E1198" i="7"/>
  <c r="E1214" i="7"/>
  <c r="E1222" i="7"/>
  <c r="E1238" i="7"/>
  <c r="E244" i="7"/>
  <c r="E243" i="7"/>
  <c r="E611" i="7"/>
  <c r="E612" i="7"/>
  <c r="E253" i="7"/>
  <c r="E261" i="7"/>
  <c r="E269" i="7"/>
  <c r="E277" i="7"/>
  <c r="E285" i="7"/>
  <c r="E293" i="7"/>
  <c r="E301" i="7"/>
  <c r="E309" i="7"/>
  <c r="E317" i="7"/>
  <c r="E325" i="7"/>
  <c r="E333" i="7"/>
  <c r="E341" i="7"/>
  <c r="E349" i="7"/>
  <c r="E357" i="7"/>
  <c r="E365" i="7"/>
  <c r="E373" i="7"/>
  <c r="E509" i="7"/>
  <c r="E541" i="7"/>
  <c r="E605" i="7"/>
  <c r="E637" i="7"/>
  <c r="E669" i="7"/>
  <c r="E717" i="7"/>
  <c r="E757" i="7"/>
  <c r="E1021" i="7"/>
  <c r="E1037" i="7"/>
  <c r="E1053" i="7"/>
  <c r="E1069" i="7"/>
  <c r="E1085" i="7"/>
  <c r="E1101" i="7"/>
  <c r="E1117" i="7"/>
  <c r="E1133" i="7"/>
  <c r="E1149" i="7"/>
  <c r="E1165" i="7"/>
  <c r="E1181" i="7"/>
  <c r="E1197" i="7"/>
  <c r="E1221" i="7"/>
  <c r="E1045" i="7"/>
  <c r="E517" i="7"/>
  <c r="E867" i="7"/>
  <c r="E868" i="7"/>
  <c r="E1012" i="7"/>
  <c r="E1011" i="7"/>
  <c r="E1035" i="7"/>
  <c r="E1036" i="7"/>
  <c r="E1083" i="7"/>
  <c r="E1084" i="7"/>
  <c r="E1131" i="7"/>
  <c r="E1132" i="7"/>
  <c r="E1227" i="7"/>
  <c r="E1228" i="7"/>
  <c r="E37" i="7"/>
  <c r="E494" i="7"/>
  <c r="E493" i="7"/>
  <c r="E685" i="7"/>
  <c r="E686" i="7"/>
  <c r="E742" i="7"/>
  <c r="E741" i="7"/>
  <c r="E1030" i="7"/>
  <c r="E1029" i="7"/>
  <c r="E1062" i="7"/>
  <c r="E1061" i="7"/>
  <c r="E1078" i="7"/>
  <c r="E1077" i="7"/>
  <c r="E1110" i="7"/>
  <c r="E1109" i="7"/>
  <c r="E1126" i="7"/>
  <c r="E1125" i="7"/>
  <c r="E1158" i="7"/>
  <c r="E1157" i="7"/>
  <c r="E1190" i="7"/>
  <c r="E1189" i="7"/>
  <c r="E1206" i="7"/>
  <c r="E1205" i="7"/>
  <c r="E1230" i="7"/>
  <c r="E1229" i="7"/>
  <c r="E1173" i="7"/>
  <c r="E1116" i="7"/>
  <c r="E180" i="7"/>
  <c r="E716" i="7"/>
  <c r="E1164" i="7"/>
  <c r="E1019" i="7"/>
  <c r="E795" i="7"/>
  <c r="E1000" i="7"/>
  <c r="E9" i="7"/>
  <c r="E17" i="7"/>
  <c r="E25" i="7"/>
  <c r="E33" i="7"/>
  <c r="E41" i="7"/>
  <c r="E57" i="7"/>
  <c r="E65" i="7"/>
  <c r="E73" i="7"/>
  <c r="E81" i="7"/>
  <c r="E89" i="7"/>
  <c r="E97" i="7"/>
  <c r="E105" i="7"/>
  <c r="E121" i="7"/>
  <c r="E129" i="7"/>
  <c r="E137" i="7"/>
  <c r="E145" i="7"/>
  <c r="E153" i="7"/>
  <c r="E161" i="7"/>
  <c r="E169" i="7"/>
  <c r="E177" i="7"/>
  <c r="E185" i="7"/>
  <c r="E193" i="7"/>
  <c r="E201" i="7"/>
  <c r="E209" i="7"/>
  <c r="E225" i="7"/>
  <c r="E233" i="7"/>
  <c r="E249" i="7"/>
  <c r="E257" i="7"/>
  <c r="E273" i="7"/>
  <c r="E297" i="7"/>
  <c r="E313" i="7"/>
  <c r="E321" i="7"/>
  <c r="E337" i="7"/>
  <c r="E361" i="7"/>
  <c r="E369" i="7"/>
  <c r="E377" i="7"/>
  <c r="E385" i="7"/>
  <c r="E401" i="7"/>
  <c r="E409" i="7"/>
  <c r="E425" i="7"/>
  <c r="E433" i="7"/>
  <c r="E441" i="7"/>
  <c r="E457" i="7"/>
  <c r="E465" i="7"/>
  <c r="E473" i="7"/>
  <c r="E481" i="7"/>
  <c r="E489" i="7"/>
  <c r="E505" i="7"/>
  <c r="E513" i="7"/>
  <c r="E521" i="7"/>
  <c r="E537" i="7"/>
  <c r="E553" i="7"/>
  <c r="E561" i="7"/>
  <c r="E569" i="7"/>
  <c r="E585" i="7"/>
  <c r="E601" i="7"/>
  <c r="E609" i="7"/>
  <c r="E617" i="7"/>
  <c r="E633" i="7"/>
  <c r="E641" i="7"/>
  <c r="E649" i="7"/>
  <c r="E657" i="7"/>
  <c r="E665" i="7"/>
  <c r="E673" i="7"/>
  <c r="E681" i="7"/>
  <c r="E689" i="7"/>
  <c r="E697" i="7"/>
  <c r="E705" i="7"/>
  <c r="E713" i="7"/>
  <c r="E721" i="7"/>
  <c r="E729" i="7"/>
  <c r="E737" i="7"/>
  <c r="E745" i="7"/>
  <c r="E753" i="7"/>
  <c r="E761" i="7"/>
  <c r="E777" i="7"/>
  <c r="E801" i="7"/>
  <c r="E809" i="7"/>
  <c r="E825" i="7"/>
  <c r="E849" i="7"/>
  <c r="E865" i="7"/>
  <c r="E873" i="7"/>
  <c r="E897" i="7"/>
  <c r="E921" i="7"/>
  <c r="E929" i="7"/>
  <c r="E937" i="7"/>
  <c r="E945" i="7"/>
  <c r="E953" i="7"/>
  <c r="E961" i="7"/>
  <c r="E985" i="7"/>
  <c r="E993" i="7"/>
  <c r="E1001" i="7"/>
  <c r="E1009" i="7"/>
  <c r="E1017" i="7"/>
  <c r="E1025" i="7"/>
  <c r="E1033" i="7"/>
  <c r="E1041" i="7"/>
  <c r="E1049" i="7"/>
  <c r="E1057" i="7"/>
  <c r="E1065" i="7"/>
  <c r="E1073" i="7"/>
  <c r="E1081" i="7"/>
  <c r="E1089" i="7"/>
  <c r="E1097" i="7"/>
  <c r="E1105" i="7"/>
  <c r="E1113" i="7"/>
  <c r="E1121" i="7"/>
  <c r="E1129" i="7"/>
  <c r="E1137" i="7"/>
  <c r="E1145" i="7"/>
  <c r="E1153" i="7"/>
  <c r="E1161" i="7"/>
  <c r="E1169" i="7"/>
  <c r="E687" i="7"/>
  <c r="E927" i="7"/>
  <c r="E3" i="7"/>
  <c r="E11" i="7"/>
  <c r="E19" i="7"/>
  <c r="E27" i="7"/>
  <c r="E35" i="7"/>
  <c r="E43" i="7"/>
  <c r="E51" i="7"/>
  <c r="E59" i="7"/>
  <c r="E67" i="7"/>
  <c r="E75" i="7"/>
  <c r="E83" i="7"/>
  <c r="E91" i="7"/>
  <c r="E99" i="7"/>
  <c r="E107" i="7"/>
  <c r="E115" i="7"/>
  <c r="E123" i="7"/>
  <c r="E139" i="7"/>
  <c r="E147" i="7"/>
  <c r="E155" i="7"/>
  <c r="E163" i="7"/>
  <c r="E171" i="7"/>
  <c r="E187" i="7"/>
  <c r="E195" i="7"/>
  <c r="E203" i="7"/>
  <c r="E211" i="7"/>
  <c r="E219" i="7"/>
  <c r="E227" i="7"/>
  <c r="E235" i="7"/>
  <c r="E251" i="7"/>
  <c r="E259" i="7"/>
  <c r="E267" i="7"/>
  <c r="E275" i="7"/>
  <c r="E283" i="7"/>
  <c r="E291" i="7"/>
  <c r="E299" i="7"/>
  <c r="E307" i="7"/>
  <c r="E315" i="7"/>
  <c r="E323" i="7"/>
  <c r="E331" i="7"/>
  <c r="E339" i="7"/>
  <c r="E347" i="7"/>
  <c r="E355" i="7"/>
  <c r="E363" i="7"/>
  <c r="E371" i="7"/>
  <c r="E379" i="7"/>
  <c r="E387" i="7"/>
  <c r="E395" i="7"/>
  <c r="E403" i="7"/>
  <c r="E419" i="7"/>
  <c r="E427" i="7"/>
  <c r="E435" i="7"/>
  <c r="E443" i="7"/>
  <c r="E451" i="7"/>
  <c r="E459" i="7"/>
  <c r="E467" i="7"/>
  <c r="E475" i="7"/>
  <c r="E491" i="7"/>
  <c r="E499" i="7"/>
  <c r="E507" i="7"/>
  <c r="E515" i="7"/>
  <c r="E523" i="7"/>
  <c r="E531" i="7"/>
  <c r="E539" i="7"/>
  <c r="E547" i="7"/>
  <c r="E555" i="7"/>
  <c r="E571" i="7"/>
  <c r="E587" i="7"/>
  <c r="E595" i="7"/>
  <c r="E603" i="7"/>
  <c r="E619" i="7"/>
  <c r="E627" i="7"/>
  <c r="E635" i="7"/>
  <c r="E643" i="7"/>
  <c r="E651" i="7"/>
  <c r="E659" i="7"/>
  <c r="E667" i="7"/>
  <c r="E683" i="7"/>
  <c r="E691" i="7"/>
  <c r="E699" i="7"/>
  <c r="E707" i="7"/>
  <c r="E723" i="7"/>
  <c r="E739" i="7"/>
  <c r="E747" i="7"/>
  <c r="E755" i="7"/>
  <c r="E763" i="7"/>
  <c r="E771" i="7"/>
  <c r="E779" i="7"/>
  <c r="E787" i="7"/>
  <c r="E803" i="7"/>
  <c r="E811" i="7"/>
  <c r="E819" i="7"/>
  <c r="E827" i="7"/>
  <c r="E835" i="7"/>
  <c r="E851" i="7"/>
  <c r="E859" i="7"/>
  <c r="E875" i="7"/>
  <c r="E883" i="7"/>
  <c r="E891" i="7"/>
  <c r="E899" i="7"/>
  <c r="E907" i="7"/>
  <c r="E915" i="7"/>
  <c r="E923" i="7"/>
  <c r="E931" i="7"/>
  <c r="E939" i="7"/>
  <c r="E963" i="7"/>
  <c r="E971" i="7"/>
  <c r="E979" i="7"/>
  <c r="E987" i="7"/>
  <c r="E995" i="7"/>
  <c r="E1003" i="7"/>
  <c r="E1027" i="7"/>
  <c r="E1043" i="7"/>
  <c r="E1059" i="7"/>
  <c r="E1075" i="7"/>
  <c r="E1091" i="7"/>
  <c r="E1107" i="7"/>
  <c r="E1123" i="7"/>
  <c r="E1139" i="7"/>
  <c r="E1155" i="7"/>
  <c r="E1171" i="7"/>
  <c r="E1187" i="7"/>
  <c r="E1211" i="7"/>
  <c r="E1235" i="7"/>
  <c r="E991" i="7"/>
  <c r="E381" i="7"/>
  <c r="E389" i="7"/>
  <c r="E397" i="7"/>
  <c r="E405" i="7"/>
  <c r="E413" i="7"/>
  <c r="E421" i="7"/>
  <c r="E429" i="7"/>
  <c r="E437" i="7"/>
  <c r="E445" i="7"/>
  <c r="E453" i="7"/>
  <c r="E461" i="7"/>
  <c r="E469" i="7"/>
  <c r="E477" i="7"/>
  <c r="E485" i="7"/>
  <c r="E501" i="7"/>
  <c r="E525" i="7"/>
  <c r="E533" i="7"/>
  <c r="E549" i="7"/>
  <c r="E557" i="7"/>
  <c r="E565" i="7"/>
  <c r="E573" i="7"/>
  <c r="E581" i="7"/>
  <c r="E589" i="7"/>
  <c r="E597" i="7"/>
  <c r="E613" i="7"/>
  <c r="E621" i="7"/>
  <c r="E629" i="7"/>
  <c r="E645" i="7"/>
  <c r="E653" i="7"/>
  <c r="E661" i="7"/>
  <c r="E677" i="7"/>
  <c r="E693" i="7"/>
  <c r="E701" i="7"/>
  <c r="E709" i="7"/>
  <c r="E725" i="7"/>
  <c r="E733" i="7"/>
  <c r="E749" i="7"/>
  <c r="E765" i="7"/>
  <c r="E773" i="7"/>
  <c r="E781" i="7"/>
  <c r="E789" i="7"/>
  <c r="E797" i="7"/>
  <c r="E805" i="7"/>
  <c r="E813" i="7"/>
  <c r="E821" i="7"/>
  <c r="E829" i="7"/>
  <c r="E837" i="7"/>
  <c r="E845" i="7"/>
  <c r="E853" i="7"/>
  <c r="E861" i="7"/>
  <c r="E869" i="7"/>
  <c r="E877" i="7"/>
  <c r="E885" i="7"/>
  <c r="E893" i="7"/>
  <c r="E901" i="7"/>
  <c r="E909" i="7"/>
  <c r="E917" i="7"/>
  <c r="E925" i="7"/>
  <c r="E933" i="7"/>
  <c r="E941" i="7"/>
  <c r="E949" i="7"/>
  <c r="E957" i="7"/>
  <c r="E965" i="7"/>
  <c r="E973" i="7"/>
  <c r="E981" i="7"/>
  <c r="E989" i="7"/>
  <c r="E997" i="7"/>
  <c r="E1005" i="7"/>
  <c r="E1013" i="7"/>
  <c r="E1237" i="7"/>
  <c r="E119" i="7"/>
  <c r="E127" i="7"/>
  <c r="E135" i="7"/>
  <c r="E143" i="7"/>
  <c r="E151" i="7"/>
  <c r="E159" i="7"/>
  <c r="E167" i="7"/>
  <c r="E175" i="7"/>
  <c r="E183" i="7"/>
  <c r="E191" i="7"/>
  <c r="E199" i="7"/>
  <c r="E207" i="7"/>
  <c r="E215" i="7"/>
  <c r="E223" i="7"/>
  <c r="E231" i="7"/>
  <c r="E239" i="7"/>
  <c r="E247" i="7"/>
  <c r="E255" i="7"/>
  <c r="E263" i="7"/>
  <c r="E271" i="7"/>
  <c r="E279" i="7"/>
  <c r="E287" i="7"/>
  <c r="E295" i="7"/>
  <c r="E303" i="7"/>
  <c r="E311" i="7"/>
  <c r="E319" i="7"/>
  <c r="E327" i="7"/>
  <c r="E335" i="7"/>
  <c r="E343" i="7"/>
  <c r="E351" i="7"/>
  <c r="E359" i="7"/>
  <c r="E367" i="7"/>
  <c r="E375" i="7"/>
  <c r="E383" i="7"/>
  <c r="E391" i="7"/>
  <c r="E399" i="7"/>
  <c r="E407" i="7"/>
  <c r="E415" i="7"/>
  <c r="E423" i="7"/>
  <c r="E431" i="7"/>
  <c r="E439" i="7"/>
  <c r="E447" i="7"/>
  <c r="E455" i="7"/>
  <c r="E463" i="7"/>
  <c r="E471" i="7"/>
  <c r="E479" i="7"/>
  <c r="E487" i="7"/>
  <c r="E495" i="7"/>
  <c r="E503" i="7"/>
  <c r="E511" i="7"/>
  <c r="E519" i="7"/>
  <c r="E527" i="7"/>
  <c r="E535" i="7"/>
  <c r="E543" i="7"/>
  <c r="E551" i="7"/>
  <c r="E559" i="7"/>
  <c r="E567" i="7"/>
  <c r="E575" i="7"/>
  <c r="E583" i="7"/>
  <c r="E591" i="7"/>
  <c r="E599" i="7"/>
  <c r="E607" i="7"/>
  <c r="E615" i="7"/>
  <c r="E623" i="7"/>
  <c r="E631" i="7"/>
  <c r="E639" i="7"/>
  <c r="E647" i="7"/>
  <c r="E655" i="7"/>
  <c r="E663" i="7"/>
  <c r="E671" i="7"/>
  <c r="E679" i="7"/>
  <c r="E695" i="7"/>
  <c r="E711" i="7"/>
  <c r="E719" i="7"/>
  <c r="E735" i="7"/>
  <c r="E743" i="7"/>
  <c r="E751" i="7"/>
  <c r="E767" i="7"/>
  <c r="E775" i="7"/>
  <c r="E783" i="7"/>
  <c r="E791" i="7"/>
  <c r="E799" i="7"/>
  <c r="E815" i="7"/>
  <c r="E823" i="7"/>
  <c r="E839" i="7"/>
  <c r="E847" i="7"/>
  <c r="E855" i="7"/>
  <c r="E863" i="7"/>
  <c r="E871" i="7"/>
  <c r="E887" i="7"/>
  <c r="E911" i="7"/>
  <c r="E919" i="7"/>
  <c r="E943" i="7"/>
  <c r="E951" i="7"/>
  <c r="E975" i="7"/>
  <c r="E983" i="7"/>
  <c r="E1007" i="7"/>
  <c r="E1015" i="7"/>
  <c r="E1023" i="7"/>
  <c r="E1031" i="7"/>
  <c r="E1039" i="7"/>
  <c r="E1047" i="7"/>
  <c r="E1055" i="7"/>
  <c r="E1063" i="7"/>
  <c r="E1071" i="7"/>
  <c r="E1079" i="7"/>
  <c r="E1087" i="7"/>
  <c r="E1095" i="7"/>
  <c r="E1103" i="7"/>
  <c r="E1111" i="7"/>
  <c r="E1119" i="7"/>
  <c r="E1127" i="7"/>
  <c r="E1135" i="7"/>
  <c r="E1143" i="7"/>
  <c r="E1151" i="7"/>
  <c r="E1159" i="7"/>
  <c r="E1167" i="7"/>
  <c r="E1175" i="7"/>
  <c r="E1183" i="7"/>
  <c r="E1191" i="7"/>
  <c r="E1199" i="7"/>
  <c r="E1207" i="7"/>
  <c r="E1215" i="7"/>
  <c r="E1223" i="7"/>
  <c r="E1231" i="7"/>
  <c r="E1239" i="7"/>
  <c r="B6" i="8"/>
  <c r="E5" i="8" s="1"/>
  <c r="C6" i="8"/>
  <c r="F4" i="8" s="1"/>
  <c r="G8" i="1"/>
  <c r="C16" i="2"/>
  <c r="G6" i="1"/>
  <c r="G5" i="1"/>
  <c r="G4" i="1"/>
  <c r="F7" i="1"/>
  <c r="E7" i="1"/>
  <c r="D16" i="2"/>
  <c r="F20" i="2"/>
  <c r="D7" i="1"/>
  <c r="C7" i="1"/>
  <c r="B7" i="1"/>
  <c r="E20" i="2"/>
  <c r="C20" i="2"/>
  <c r="D20" i="2"/>
  <c r="B16" i="2"/>
  <c r="E16" i="2"/>
  <c r="E21" i="2"/>
  <c r="D21" i="2"/>
  <c r="C21" i="2"/>
  <c r="B21" i="2"/>
  <c r="B20" i="2"/>
  <c r="F21" i="2"/>
  <c r="I3" i="7" l="1"/>
  <c r="I1" i="7"/>
  <c r="F5" i="8"/>
  <c r="F6" i="8"/>
  <c r="E4" i="8"/>
  <c r="E6" i="8" s="1"/>
  <c r="G7" i="1"/>
  <c r="G9" i="1" s="1"/>
  <c r="D5" i="8" s="1"/>
  <c r="G5" i="8" s="1"/>
  <c r="H5" i="8" l="1"/>
  <c r="I5" i="7"/>
  <c r="I8" i="7" s="1"/>
  <c r="D4" i="8" s="1"/>
  <c r="H4" i="8" s="1"/>
  <c r="H6" i="8" s="1"/>
  <c r="G4" i="8" l="1"/>
  <c r="G6" i="8" s="1"/>
</calcChain>
</file>

<file path=xl/sharedStrings.xml><?xml version="1.0" encoding="utf-8"?>
<sst xmlns="http://schemas.openxmlformats.org/spreadsheetml/2006/main" count="1376" uniqueCount="1318">
  <si>
    <t>COMPANY NAME</t>
  </si>
  <si>
    <t>SCREENER.IN</t>
  </si>
  <si>
    <t>Narration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</si>
  <si>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</si>
  <si>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</si>
  <si>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</si>
  <si>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</si>
  <si>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</si>
  <si>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</si>
  <si>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</si>
  <si>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</si>
  <si>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</si>
  <si>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</si>
  <si>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</si>
  <si>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</si>
  <si>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</si>
  <si>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</si>
  <si>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</si>
  <si>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</si>
  <si>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</si>
  <si>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</si>
  <si>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</si>
  <si>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</si>
  <si>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</si>
  <si>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</si>
  <si>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</si>
  <si>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</si>
  <si>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</si>
  <si>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</si>
  <si>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</si>
  <si>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</si>
  <si>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</si>
  <si>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</si>
  <si>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</si>
  <si>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EPS</t>
  </si>
  <si>
    <t>Price</t>
  </si>
  <si>
    <t>Return on Equity</t>
  </si>
  <si>
    <t>Return on Capital Emp</t>
  </si>
  <si>
    <t>LATEST VERSION</t>
  </si>
  <si>
    <t>CURRENT VERSION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</si>
  <si>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</si>
  <si>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</si>
  <si>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</si>
  <si>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</si>
  <si>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</si>
  <si>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</si>
  <si>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</si>
  <si>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</si>
  <si>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</si>
  <si>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</si>
  <si>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</si>
  <si>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</si>
  <si>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</si>
  <si>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</si>
  <si>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</si>
  <si>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</si>
  <si>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</si>
  <si>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</si>
  <si>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</si>
  <si>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</si>
  <si>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</si>
  <si>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Date</t>
  </si>
  <si>
    <t>AdaniEnt.</t>
  </si>
  <si>
    <t>Nifty 50</t>
  </si>
  <si>
    <t>Returns</t>
  </si>
  <si>
    <t>Beta</t>
  </si>
  <si>
    <t>Rf</t>
  </si>
  <si>
    <t>Rm</t>
  </si>
  <si>
    <t>Leverage Beta</t>
  </si>
  <si>
    <t>Unleveraged Beta*(1+(1-t)*Debt/Equity)</t>
  </si>
  <si>
    <t>Ke</t>
  </si>
  <si>
    <t>Rf + Beta*(Rm-Rf)</t>
  </si>
  <si>
    <t>Debt</t>
  </si>
  <si>
    <t>Equity</t>
  </si>
  <si>
    <t>WACC MV</t>
  </si>
  <si>
    <t>WACC BV</t>
  </si>
  <si>
    <t>Weights MV</t>
  </si>
  <si>
    <t>Weights BV</t>
  </si>
  <si>
    <t>Cost</t>
  </si>
  <si>
    <t>MV</t>
  </si>
  <si>
    <t>BV</t>
  </si>
  <si>
    <t>Current Market Price</t>
  </si>
  <si>
    <t>Price of Share</t>
  </si>
  <si>
    <t>P/E Ratio</t>
  </si>
  <si>
    <t>Tax Rate</t>
  </si>
  <si>
    <t>Average</t>
  </si>
  <si>
    <t>Cost Of Debt</t>
  </si>
  <si>
    <t>Under Valued</t>
  </si>
  <si>
    <t>430.03M</t>
  </si>
  <si>
    <t>500.48M</t>
  </si>
  <si>
    <t>474.21M</t>
  </si>
  <si>
    <t>476.38M</t>
  </si>
  <si>
    <t>503.73M</t>
  </si>
  <si>
    <t>498.35M</t>
  </si>
  <si>
    <t>638.48M</t>
  </si>
  <si>
    <t>588.67M</t>
  </si>
  <si>
    <t>556.85M</t>
  </si>
  <si>
    <t>568.57M</t>
  </si>
  <si>
    <t>503.14M</t>
  </si>
  <si>
    <t>456.70M</t>
  </si>
  <si>
    <t>516.99M</t>
  </si>
  <si>
    <t>476.61M</t>
  </si>
  <si>
    <t>448.53M</t>
  </si>
  <si>
    <t>442.21M</t>
  </si>
  <si>
    <t>453.99M</t>
  </si>
  <si>
    <t>511.47M</t>
  </si>
  <si>
    <t>594.74M</t>
  </si>
  <si>
    <t>443.41M</t>
  </si>
  <si>
    <t>479.66M</t>
  </si>
  <si>
    <t>437.26M</t>
  </si>
  <si>
    <t>445.28M</t>
  </si>
  <si>
    <t>483.68M</t>
  </si>
  <si>
    <t>510.60M</t>
  </si>
  <si>
    <t>616.20M</t>
  </si>
  <si>
    <t>620.32M</t>
  </si>
  <si>
    <t>602.74M</t>
  </si>
  <si>
    <t>534.52M</t>
  </si>
  <si>
    <t>571.92M</t>
  </si>
  <si>
    <t>563.29M</t>
  </si>
  <si>
    <t>467.46M</t>
  </si>
  <si>
    <t>557.73M</t>
  </si>
  <si>
    <t>566.72M</t>
  </si>
  <si>
    <t>417.32M</t>
  </si>
  <si>
    <t>377.68M</t>
  </si>
  <si>
    <t>682.37M</t>
  </si>
  <si>
    <t>455.58M</t>
  </si>
  <si>
    <t>436.00M</t>
  </si>
  <si>
    <t>409.56M</t>
  </si>
  <si>
    <t>428.64M</t>
  </si>
  <si>
    <t>410.24M</t>
  </si>
  <si>
    <t>414.16M</t>
  </si>
  <si>
    <t>393.97M</t>
  </si>
  <si>
    <t>378.16M</t>
  </si>
  <si>
    <t>457.86M</t>
  </si>
  <si>
    <t>298.30M</t>
  </si>
  <si>
    <t>363.01M</t>
  </si>
  <si>
    <t>392.86M</t>
  </si>
  <si>
    <t>323.26M</t>
  </si>
  <si>
    <t>340.19M</t>
  </si>
  <si>
    <t>357.65M</t>
  </si>
  <si>
    <t>640.82M</t>
  </si>
  <si>
    <t>351.53M</t>
  </si>
  <si>
    <t>322.24M</t>
  </si>
  <si>
    <t>287.54M</t>
  </si>
  <si>
    <t>316.66M</t>
  </si>
  <si>
    <t>314.61M</t>
  </si>
  <si>
    <t>255.10M</t>
  </si>
  <si>
    <t>360.33M</t>
  </si>
  <si>
    <t>262.39M</t>
  </si>
  <si>
    <t>224.92M</t>
  </si>
  <si>
    <t>254.81M</t>
  </si>
  <si>
    <t>207.03M</t>
  </si>
  <si>
    <t>391.41M</t>
  </si>
  <si>
    <t>329.31M</t>
  </si>
  <si>
    <t>307.93M</t>
  </si>
  <si>
    <t>243.25M</t>
  </si>
  <si>
    <t>216.27M</t>
  </si>
  <si>
    <t>246.68M</t>
  </si>
  <si>
    <t>239.92M</t>
  </si>
  <si>
    <t>284.85M</t>
  </si>
  <si>
    <t>276.30M</t>
  </si>
  <si>
    <t>242.13M</t>
  </si>
  <si>
    <t>274.28M</t>
  </si>
  <si>
    <t>265.25M</t>
  </si>
  <si>
    <t>294.10M</t>
  </si>
  <si>
    <t>267.08M</t>
  </si>
  <si>
    <t>311.01M</t>
  </si>
  <si>
    <t>318.60M</t>
  </si>
  <si>
    <t>401.58M</t>
  </si>
  <si>
    <t>400.02M</t>
  </si>
  <si>
    <t>244.85M</t>
  </si>
  <si>
    <t>341.29M</t>
  </si>
  <si>
    <t>427.34M</t>
  </si>
  <si>
    <t>418.17M</t>
  </si>
  <si>
    <t>320.09M</t>
  </si>
  <si>
    <t>240.45M</t>
  </si>
  <si>
    <t>287.99M</t>
  </si>
  <si>
    <t>277.90M</t>
  </si>
  <si>
    <t>280.18M</t>
  </si>
  <si>
    <t>321.87M</t>
  </si>
  <si>
    <t>254.05M</t>
  </si>
  <si>
    <t>297.39M</t>
  </si>
  <si>
    <t>251.80M</t>
  </si>
  <si>
    <t>350.82M</t>
  </si>
  <si>
    <t>275.60M</t>
  </si>
  <si>
    <t>275.36M</t>
  </si>
  <si>
    <t>265.92M</t>
  </si>
  <si>
    <t>253.53M</t>
  </si>
  <si>
    <t>217.41M</t>
  </si>
  <si>
    <t>283.48M</t>
  </si>
  <si>
    <t>464.39M</t>
  </si>
  <si>
    <t>301.89M</t>
  </si>
  <si>
    <t>242.38M</t>
  </si>
  <si>
    <t>261.37M</t>
  </si>
  <si>
    <t>228.05M</t>
  </si>
  <si>
    <t>243.42M</t>
  </si>
  <si>
    <t>252.65M</t>
  </si>
  <si>
    <t>241.51M</t>
  </si>
  <si>
    <t>241.05M</t>
  </si>
  <si>
    <t>230.35M</t>
  </si>
  <si>
    <t>388.19M</t>
  </si>
  <si>
    <t>503.31M</t>
  </si>
  <si>
    <t>508.29M</t>
  </si>
  <si>
    <t>339.10M</t>
  </si>
  <si>
    <t>363.58M</t>
  </si>
  <si>
    <t>295.19M</t>
  </si>
  <si>
    <t>320.51M</t>
  </si>
  <si>
    <t>360.13M</t>
  </si>
  <si>
    <t>295.71M</t>
  </si>
  <si>
    <t>398.00M</t>
  </si>
  <si>
    <t>562.24M</t>
  </si>
  <si>
    <t>378.59M</t>
  </si>
  <si>
    <t>305.76M</t>
  </si>
  <si>
    <t>295.76M</t>
  </si>
  <si>
    <t>427.00M</t>
  </si>
  <si>
    <t>395.83M</t>
  </si>
  <si>
    <t>419.89M</t>
  </si>
  <si>
    <t>324.07M</t>
  </si>
  <si>
    <t>375.76M</t>
  </si>
  <si>
    <t>355.57M</t>
  </si>
  <si>
    <t>506.68M</t>
  </si>
  <si>
    <t>538.71M</t>
  </si>
  <si>
    <t>469.88M</t>
  </si>
  <si>
    <t>368.23M</t>
  </si>
  <si>
    <t>371.28M</t>
  </si>
  <si>
    <t>365.90M</t>
  </si>
  <si>
    <t>324.75M</t>
  </si>
  <si>
    <t>418.70M</t>
  </si>
  <si>
    <t>341.38M</t>
  </si>
  <si>
    <t>335.25M</t>
  </si>
  <si>
    <t>374.21M</t>
  </si>
  <si>
    <t>336.47M</t>
  </si>
  <si>
    <t>281.19M</t>
  </si>
  <si>
    <t>296.44M</t>
  </si>
  <si>
    <t>331.00M</t>
  </si>
  <si>
    <t>48.52M</t>
  </si>
  <si>
    <t>338.92M</t>
  </si>
  <si>
    <t>270.20M</t>
  </si>
  <si>
    <t>261.45M</t>
  </si>
  <si>
    <t>232.12M</t>
  </si>
  <si>
    <t>249.11M</t>
  </si>
  <si>
    <t>280.43M</t>
  </si>
  <si>
    <t>267.43M</t>
  </si>
  <si>
    <t>295.72M</t>
  </si>
  <si>
    <t>278.43M</t>
  </si>
  <si>
    <t>356.40M</t>
  </si>
  <si>
    <t>308.84M</t>
  </si>
  <si>
    <t>298.05M</t>
  </si>
  <si>
    <t>255.95M</t>
  </si>
  <si>
    <t>356.33M</t>
  </si>
  <si>
    <t>348.89M</t>
  </si>
  <si>
    <t>498.00M</t>
  </si>
  <si>
    <t>295.54M</t>
  </si>
  <si>
    <t>279.87M</t>
  </si>
  <si>
    <t>292.53M</t>
  </si>
  <si>
    <t>231.72M</t>
  </si>
  <si>
    <t>254.14M</t>
  </si>
  <si>
    <t>257.79M</t>
  </si>
  <si>
    <t>237.17M</t>
  </si>
  <si>
    <t>204.47M</t>
  </si>
  <si>
    <t>256.56M</t>
  </si>
  <si>
    <t>270.97M</t>
  </si>
  <si>
    <t>214.97M</t>
  </si>
  <si>
    <t>219.50M</t>
  </si>
  <si>
    <t>354.59M</t>
  </si>
  <si>
    <t>330.61M</t>
  </si>
  <si>
    <t>241.03M</t>
  </si>
  <si>
    <t>207.95M</t>
  </si>
  <si>
    <t>196.97M</t>
  </si>
  <si>
    <t>182.56M</t>
  </si>
  <si>
    <t>144.78M</t>
  </si>
  <si>
    <t>176.03M</t>
  </si>
  <si>
    <t>161.68M</t>
  </si>
  <si>
    <t>320.83M</t>
  </si>
  <si>
    <t>167.03M</t>
  </si>
  <si>
    <t>200.46M</t>
  </si>
  <si>
    <t>247.44M</t>
  </si>
  <si>
    <t>251.46M</t>
  </si>
  <si>
    <t>236.45M</t>
  </si>
  <si>
    <t>239.34M</t>
  </si>
  <si>
    <t>232.42M</t>
  </si>
  <si>
    <t>220.24M</t>
  </si>
  <si>
    <t>244.97M</t>
  </si>
  <si>
    <t>303.70M</t>
  </si>
  <si>
    <t>229.45M</t>
  </si>
  <si>
    <t>266.70M</t>
  </si>
  <si>
    <t>227.51M</t>
  </si>
  <si>
    <t>276.66M</t>
  </si>
  <si>
    <t>258.09M</t>
  </si>
  <si>
    <t>277.65M</t>
  </si>
  <si>
    <t>323.85M</t>
  </si>
  <si>
    <t>326.52M</t>
  </si>
  <si>
    <t>395.60M</t>
  </si>
  <si>
    <t>355.28M</t>
  </si>
  <si>
    <t>321.66M</t>
  </si>
  <si>
    <t>386.39M</t>
  </si>
  <si>
    <t>271.21M</t>
  </si>
  <si>
    <t>226.61M</t>
  </si>
  <si>
    <t>261.43M</t>
  </si>
  <si>
    <t>265.04M</t>
  </si>
  <si>
    <t>268.53M</t>
  </si>
  <si>
    <t>236.35M</t>
  </si>
  <si>
    <t>273.61M</t>
  </si>
  <si>
    <t>253.14M</t>
  </si>
  <si>
    <t>305.51M</t>
  </si>
  <si>
    <t>298.66M</t>
  </si>
  <si>
    <t>244.55M</t>
  </si>
  <si>
    <t>232.14M</t>
  </si>
  <si>
    <t>189.62M</t>
  </si>
  <si>
    <t>215.18M</t>
  </si>
  <si>
    <t>300.13M</t>
  </si>
  <si>
    <t>200.23M</t>
  </si>
  <si>
    <t>457.97M</t>
  </si>
  <si>
    <t>329.78M</t>
  </si>
  <si>
    <t>404.21M</t>
  </si>
  <si>
    <t>517.72M</t>
  </si>
  <si>
    <t>442.07M</t>
  </si>
  <si>
    <t>456.14M</t>
  </si>
  <si>
    <t>585.40M</t>
  </si>
  <si>
    <t>543.60M</t>
  </si>
  <si>
    <t>462.23M</t>
  </si>
  <si>
    <t>486.45M</t>
  </si>
  <si>
    <t>343.72M</t>
  </si>
  <si>
    <t>314.67M</t>
  </si>
  <si>
    <t>381.63M</t>
  </si>
  <si>
    <t>259.97M</t>
  </si>
  <si>
    <t>448.34M</t>
  </si>
  <si>
    <t>285.45M</t>
  </si>
  <si>
    <t>338.26M</t>
  </si>
  <si>
    <t>292.12M</t>
  </si>
  <si>
    <t>290.28M</t>
  </si>
  <si>
    <t>237.12M</t>
  </si>
  <si>
    <t>253.24M</t>
  </si>
  <si>
    <t>235.15M</t>
  </si>
  <si>
    <t>505.03M</t>
  </si>
  <si>
    <t>281.11M</t>
  </si>
  <si>
    <t>291.77M</t>
  </si>
  <si>
    <t>345.53M</t>
  </si>
  <si>
    <t>283.45M</t>
  </si>
  <si>
    <t>328.82M</t>
  </si>
  <si>
    <t>274.45M</t>
  </si>
  <si>
    <t>251.70M</t>
  </si>
  <si>
    <t>266.03M</t>
  </si>
  <si>
    <t>245.06M</t>
  </si>
  <si>
    <t>376.13M</t>
  </si>
  <si>
    <t>401.40M</t>
  </si>
  <si>
    <t>286.07M</t>
  </si>
  <si>
    <t>285.20M</t>
  </si>
  <si>
    <t>262.74M</t>
  </si>
  <si>
    <t>275.69M</t>
  </si>
  <si>
    <t>261.07M</t>
  </si>
  <si>
    <t>265.14M</t>
  </si>
  <si>
    <t>312.91M</t>
  </si>
  <si>
    <t>336.24M</t>
  </si>
  <si>
    <t>278.16M</t>
  </si>
  <si>
    <t>310.63M</t>
  </si>
  <si>
    <t>265.79M</t>
  </si>
  <si>
    <t>300.53M</t>
  </si>
  <si>
    <t>288.40M</t>
  </si>
  <si>
    <t>283.06M</t>
  </si>
  <si>
    <t>284.29M</t>
  </si>
  <si>
    <t>314.92M</t>
  </si>
  <si>
    <t>369.14M</t>
  </si>
  <si>
    <t>217.65M</t>
  </si>
  <si>
    <t>295.69M</t>
  </si>
  <si>
    <t>290.44M</t>
  </si>
  <si>
    <t>313.88M</t>
  </si>
  <si>
    <t>252.40M</t>
  </si>
  <si>
    <t>293.83M</t>
  </si>
  <si>
    <t>249.78M</t>
  </si>
  <si>
    <t>243.34M</t>
  </si>
  <si>
    <t>314.31M</t>
  </si>
  <si>
    <t>274.06M</t>
  </si>
  <si>
    <t>251.40M</t>
  </si>
  <si>
    <t>651.61M</t>
  </si>
  <si>
    <t>249.62M</t>
  </si>
  <si>
    <t>235.96M</t>
  </si>
  <si>
    <t>245.51M</t>
  </si>
  <si>
    <t>233.59M</t>
  </si>
  <si>
    <t>233.81M</t>
  </si>
  <si>
    <t>243.48M</t>
  </si>
  <si>
    <t>204.95M</t>
  </si>
  <si>
    <t>189.68M</t>
  </si>
  <si>
    <t>225.53M</t>
  </si>
  <si>
    <t>225.43M</t>
  </si>
  <si>
    <t>183.01M</t>
  </si>
  <si>
    <t>264.74M</t>
  </si>
  <si>
    <t>342.63M</t>
  </si>
  <si>
    <t>260.02M</t>
  </si>
  <si>
    <t>262.79M</t>
  </si>
  <si>
    <t>220.89M</t>
  </si>
  <si>
    <t>259.17M</t>
  </si>
  <si>
    <t>219.60M</t>
  </si>
  <si>
    <t>210.93M</t>
  </si>
  <si>
    <t>251.87M</t>
  </si>
  <si>
    <t>444.95M</t>
  </si>
  <si>
    <t>306.03M</t>
  </si>
  <si>
    <t>364.09M</t>
  </si>
  <si>
    <t>304.33M</t>
  </si>
  <si>
    <t>254.16M</t>
  </si>
  <si>
    <t>288.38M</t>
  </si>
  <si>
    <t>264.62M</t>
  </si>
  <si>
    <t>281.10M</t>
  </si>
  <si>
    <t>255.92M</t>
  </si>
  <si>
    <t>208.65M</t>
  </si>
  <si>
    <t>233.26M</t>
  </si>
  <si>
    <t>228.60M</t>
  </si>
  <si>
    <t>205.77M</t>
  </si>
  <si>
    <t>227.74M</t>
  </si>
  <si>
    <t>222.63M</t>
  </si>
  <si>
    <t>284.36M</t>
  </si>
  <si>
    <t>243.62M</t>
  </si>
  <si>
    <t>190.91M</t>
  </si>
  <si>
    <t>211.39M</t>
  </si>
  <si>
    <t>208.21M</t>
  </si>
  <si>
    <t>185.21M</t>
  </si>
  <si>
    <t>376.26M</t>
  </si>
  <si>
    <t>436.06M</t>
  </si>
  <si>
    <t>381.53M</t>
  </si>
  <si>
    <t>333.64M</t>
  </si>
  <si>
    <t>285.42M</t>
  </si>
  <si>
    <t>324.98M</t>
  </si>
  <si>
    <t>355.31M</t>
  </si>
  <si>
    <t>256.99M</t>
  </si>
  <si>
    <t>312.72M</t>
  </si>
  <si>
    <t>311.25M</t>
  </si>
  <si>
    <t>303.87M</t>
  </si>
  <si>
    <t>262.77M</t>
  </si>
  <si>
    <t>263.91M</t>
  </si>
  <si>
    <t>295.63M</t>
  </si>
  <si>
    <t>287.56M</t>
  </si>
  <si>
    <t>285.62M</t>
  </si>
  <si>
    <t>261.95M</t>
  </si>
  <si>
    <t>230.18M</t>
  </si>
  <si>
    <t>266.64M</t>
  </si>
  <si>
    <t>244.86M</t>
  </si>
  <si>
    <t>324.69M</t>
  </si>
  <si>
    <t>308.53M</t>
  </si>
  <si>
    <t>256.27M</t>
  </si>
  <si>
    <t>230.31M</t>
  </si>
  <si>
    <t>251.20M</t>
  </si>
  <si>
    <t>354.14M</t>
  </si>
  <si>
    <t>279.85M</t>
  </si>
  <si>
    <t>270.30M</t>
  </si>
  <si>
    <t>228.24M</t>
  </si>
  <si>
    <t>259.92M</t>
  </si>
  <si>
    <t>365.87M</t>
  </si>
  <si>
    <t>289.64M</t>
  </si>
  <si>
    <t>468.46M</t>
  </si>
  <si>
    <t>258.33M</t>
  </si>
  <si>
    <t>263.10M</t>
  </si>
  <si>
    <t>245.53M</t>
  </si>
  <si>
    <t>284.09M</t>
  </si>
  <si>
    <t>390.76M</t>
  </si>
  <si>
    <t>492.00M</t>
  </si>
  <si>
    <t>359.90M</t>
  </si>
  <si>
    <t>323.92M</t>
  </si>
  <si>
    <t>340.03M</t>
  </si>
  <si>
    <t>376.12M</t>
  </si>
  <si>
    <t>278.37M</t>
  </si>
  <si>
    <t>226.02M</t>
  </si>
  <si>
    <t>265.45M</t>
  </si>
  <si>
    <t>234.01M</t>
  </si>
  <si>
    <t>282.62M</t>
  </si>
  <si>
    <t>256.04M</t>
  </si>
  <si>
    <t>266.44M</t>
  </si>
  <si>
    <t>227.00M</t>
  </si>
  <si>
    <t>212.22M</t>
  </si>
  <si>
    <t>239.49M</t>
  </si>
  <si>
    <t>210.48M</t>
  </si>
  <si>
    <t>249.60M</t>
  </si>
  <si>
    <t>277.70M</t>
  </si>
  <si>
    <t>45.03M</t>
  </si>
  <si>
    <t>251.36M</t>
  </si>
  <si>
    <t>324.65M</t>
  </si>
  <si>
    <t>250.03M</t>
  </si>
  <si>
    <t>227.18M</t>
  </si>
  <si>
    <t>349.92M</t>
  </si>
  <si>
    <t>270.88M</t>
  </si>
  <si>
    <t>212.97M</t>
  </si>
  <si>
    <t>267.94M</t>
  </si>
  <si>
    <t>314.76M</t>
  </si>
  <si>
    <t>307.16M</t>
  </si>
  <si>
    <t>256.45M</t>
  </si>
  <si>
    <t>378.47M</t>
  </si>
  <si>
    <t>301.40M</t>
  </si>
  <si>
    <t>250.93M</t>
  </si>
  <si>
    <t>219.27M</t>
  </si>
  <si>
    <t>200.51M</t>
  </si>
  <si>
    <t>198.80M</t>
  </si>
  <si>
    <t>213.80M</t>
  </si>
  <si>
    <t>177.68M</t>
  </si>
  <si>
    <t>178.79M</t>
  </si>
  <si>
    <t>204.04M</t>
  </si>
  <si>
    <t>205.88M</t>
  </si>
  <si>
    <t>206.47M</t>
  </si>
  <si>
    <t>195.26M</t>
  </si>
  <si>
    <t>345.64M</t>
  </si>
  <si>
    <t>324.96M</t>
  </si>
  <si>
    <t>254.40M</t>
  </si>
  <si>
    <t>288.39M</t>
  </si>
  <si>
    <t>217.78M</t>
  </si>
  <si>
    <t>200.50M</t>
  </si>
  <si>
    <t>202.81M</t>
  </si>
  <si>
    <t>215.84M</t>
  </si>
  <si>
    <t>193.88M</t>
  </si>
  <si>
    <t>187.59M</t>
  </si>
  <si>
    <t>208.03M</t>
  </si>
  <si>
    <t>183.13M</t>
  </si>
  <si>
    <t>154.85M</t>
  </si>
  <si>
    <t>169.04M</t>
  </si>
  <si>
    <t>195.70M</t>
  </si>
  <si>
    <t>221.45M</t>
  </si>
  <si>
    <t>176.65M</t>
  </si>
  <si>
    <t>214.26M</t>
  </si>
  <si>
    <t>193.87M</t>
  </si>
  <si>
    <t>281.05M</t>
  </si>
  <si>
    <t>192.01M</t>
  </si>
  <si>
    <t>256.07M</t>
  </si>
  <si>
    <t>208.70M</t>
  </si>
  <si>
    <t>235.16M</t>
  </si>
  <si>
    <t>269.95M</t>
  </si>
  <si>
    <t>238.22M</t>
  </si>
  <si>
    <t>257.24M</t>
  </si>
  <si>
    <t>283.28M</t>
  </si>
  <si>
    <t>259.85M</t>
  </si>
  <si>
    <t>227.77M</t>
  </si>
  <si>
    <t>256.70M</t>
  </si>
  <si>
    <t>206.20M</t>
  </si>
  <si>
    <t>219.06M</t>
  </si>
  <si>
    <t>255.84M</t>
  </si>
  <si>
    <t>237.83M</t>
  </si>
  <si>
    <t>237.23M</t>
  </si>
  <si>
    <t>202.46M</t>
  </si>
  <si>
    <t>216.91M</t>
  </si>
  <si>
    <t>257.23M</t>
  </si>
  <si>
    <t>476.34M</t>
  </si>
  <si>
    <t>432.43M</t>
  </si>
  <si>
    <t>398.34M</t>
  </si>
  <si>
    <t>512.87M</t>
  </si>
  <si>
    <t>490.11M</t>
  </si>
  <si>
    <t>424.12M</t>
  </si>
  <si>
    <t>282.54M</t>
  </si>
  <si>
    <t>354.40M</t>
  </si>
  <si>
    <t>290.99M</t>
  </si>
  <si>
    <t>260.85M</t>
  </si>
  <si>
    <t>231.99M</t>
  </si>
  <si>
    <t>231.28M</t>
  </si>
  <si>
    <t>244.51M</t>
  </si>
  <si>
    <t>229.27M</t>
  </si>
  <si>
    <t>230.25M</t>
  </si>
  <si>
    <t>208.05M</t>
  </si>
  <si>
    <t>174.56M</t>
  </si>
  <si>
    <t>198.25M</t>
  </si>
  <si>
    <t>204.02M</t>
  </si>
  <si>
    <t>240.81M</t>
  </si>
  <si>
    <t>209.41M</t>
  </si>
  <si>
    <t>246.45M</t>
  </si>
  <si>
    <t>420.88M</t>
  </si>
  <si>
    <t>272.88M</t>
  </si>
  <si>
    <t>310.67M</t>
  </si>
  <si>
    <t>356.17M</t>
  </si>
  <si>
    <t>362.80M</t>
  </si>
  <si>
    <t>267.04M</t>
  </si>
  <si>
    <t>262.35M</t>
  </si>
  <si>
    <t>235.93M</t>
  </si>
  <si>
    <t>254.91M</t>
  </si>
  <si>
    <t>290.60M</t>
  </si>
  <si>
    <t>248.19M</t>
  </si>
  <si>
    <t>349.82M</t>
  </si>
  <si>
    <t>408.12M</t>
  </si>
  <si>
    <t>241.78M</t>
  </si>
  <si>
    <t>246.74M</t>
  </si>
  <si>
    <t>219.17M</t>
  </si>
  <si>
    <t>228.04M</t>
  </si>
  <si>
    <t>218.42M</t>
  </si>
  <si>
    <t>238.84M</t>
  </si>
  <si>
    <t>345.91M</t>
  </si>
  <si>
    <t>263.89M</t>
  </si>
  <si>
    <t>230.17M</t>
  </si>
  <si>
    <t>248.35M</t>
  </si>
  <si>
    <t>242.71M</t>
  </si>
  <si>
    <t>254.82M</t>
  </si>
  <si>
    <t>304.26M</t>
  </si>
  <si>
    <t>232.82M</t>
  </si>
  <si>
    <t>285.76M</t>
  </si>
  <si>
    <t>357.40M</t>
  </si>
  <si>
    <t>258.86M</t>
  </si>
  <si>
    <t>281.46M</t>
  </si>
  <si>
    <t>215.10M</t>
  </si>
  <si>
    <t>230.16M</t>
  </si>
  <si>
    <t>255.74M</t>
  </si>
  <si>
    <t>297.45M</t>
  </si>
  <si>
    <t>233.01M</t>
  </si>
  <si>
    <t>241.43M</t>
  </si>
  <si>
    <t>290.26M</t>
  </si>
  <si>
    <t>265.22M</t>
  </si>
  <si>
    <t>226.17M</t>
  </si>
  <si>
    <t>226.64M</t>
  </si>
  <si>
    <t>239.70M</t>
  </si>
  <si>
    <t>228.40M</t>
  </si>
  <si>
    <t>245.37M</t>
  </si>
  <si>
    <t>220.45M</t>
  </si>
  <si>
    <t>248.93M</t>
  </si>
  <si>
    <t>241.70M</t>
  </si>
  <si>
    <t>216.09M</t>
  </si>
  <si>
    <t>219.49M</t>
  </si>
  <si>
    <t>229.90M</t>
  </si>
  <si>
    <t>272.10M</t>
  </si>
  <si>
    <t>260.90M</t>
  </si>
  <si>
    <t>262.56M</t>
  </si>
  <si>
    <t>270.35M</t>
  </si>
  <si>
    <t>232.62M</t>
  </si>
  <si>
    <t>235.92M</t>
  </si>
  <si>
    <t>198.67M</t>
  </si>
  <si>
    <t>265.32M</t>
  </si>
  <si>
    <t>234.39M</t>
  </si>
  <si>
    <t>696.50M</t>
  </si>
  <si>
    <t>265.63M</t>
  </si>
  <si>
    <t>270.92M</t>
  </si>
  <si>
    <t>256.11M</t>
  </si>
  <si>
    <t>220.79M</t>
  </si>
  <si>
    <t>260.11M</t>
  </si>
  <si>
    <t>286.47M</t>
  </si>
  <si>
    <t>221.76M</t>
  </si>
  <si>
    <t>179.46M</t>
  </si>
  <si>
    <t>233.17M</t>
  </si>
  <si>
    <t>261.35M</t>
  </si>
  <si>
    <t>263.00M</t>
  </si>
  <si>
    <t>272.77M</t>
  </si>
  <si>
    <t>219.82M</t>
  </si>
  <si>
    <t>211.65M</t>
  </si>
  <si>
    <t>217.48M</t>
  </si>
  <si>
    <t>252.70M</t>
  </si>
  <si>
    <t>210.56M</t>
  </si>
  <si>
    <t>171.27M</t>
  </si>
  <si>
    <t>222.46M</t>
  </si>
  <si>
    <t>398.78M</t>
  </si>
  <si>
    <t>247.91M</t>
  </si>
  <si>
    <t>226.05M</t>
  </si>
  <si>
    <t>226.92M</t>
  </si>
  <si>
    <t>224.42M</t>
  </si>
  <si>
    <t>268.26M</t>
  </si>
  <si>
    <t>237.10M</t>
  </si>
  <si>
    <t>268.25M</t>
  </si>
  <si>
    <t>251.26M</t>
  </si>
  <si>
    <t>327.94M</t>
  </si>
  <si>
    <t>310.44M</t>
  </si>
  <si>
    <t>291.17M</t>
  </si>
  <si>
    <t>268.71M</t>
  </si>
  <si>
    <t>286.35M</t>
  </si>
  <si>
    <t>259.66M</t>
  </si>
  <si>
    <t>274.70M</t>
  </si>
  <si>
    <t>312.46M</t>
  </si>
  <si>
    <t>265.56M</t>
  </si>
  <si>
    <t>369.65M</t>
  </si>
  <si>
    <t>244.75M</t>
  </si>
  <si>
    <t>334.89M</t>
  </si>
  <si>
    <t>258.67M</t>
  </si>
  <si>
    <t>295.05M</t>
  </si>
  <si>
    <t>290.67M</t>
  </si>
  <si>
    <t>315.69M</t>
  </si>
  <si>
    <t>280.80M</t>
  </si>
  <si>
    <t>216.59M</t>
  </si>
  <si>
    <t>260.29M</t>
  </si>
  <si>
    <t>266.50M</t>
  </si>
  <si>
    <t>312.19M</t>
  </si>
  <si>
    <t>235.52M</t>
  </si>
  <si>
    <t>243.85M</t>
  </si>
  <si>
    <t>226.63M</t>
  </si>
  <si>
    <t>268.66M</t>
  </si>
  <si>
    <t>256.14M</t>
  </si>
  <si>
    <t>262.59M</t>
  </si>
  <si>
    <t>225.22M</t>
  </si>
  <si>
    <t>466.52M</t>
  </si>
  <si>
    <t>248.18M</t>
  </si>
  <si>
    <t>307.39M</t>
  </si>
  <si>
    <t>233.00M</t>
  </si>
  <si>
    <t>562.56M</t>
  </si>
  <si>
    <t>333.02M</t>
  </si>
  <si>
    <t>296.82M</t>
  </si>
  <si>
    <t>256.83M</t>
  </si>
  <si>
    <t>304.93M</t>
  </si>
  <si>
    <t>288.09M</t>
  </si>
  <si>
    <t>248.76M</t>
  </si>
  <si>
    <t>328.06M</t>
  </si>
  <si>
    <t>251.39M</t>
  </si>
  <si>
    <t>275.11M</t>
  </si>
  <si>
    <t>438.19M</t>
  </si>
  <si>
    <t>264.87M</t>
  </si>
  <si>
    <t>378.07M</t>
  </si>
  <si>
    <t>275.13M</t>
  </si>
  <si>
    <t>246.41M</t>
  </si>
  <si>
    <t>188.40M</t>
  </si>
  <si>
    <t>204.87M</t>
  </si>
  <si>
    <t>203.56M</t>
  </si>
  <si>
    <t>352.81M</t>
  </si>
  <si>
    <t>243.51M</t>
  </si>
  <si>
    <t>221.72M</t>
  </si>
  <si>
    <t>277.15M</t>
  </si>
  <si>
    <t>234.87M</t>
  </si>
  <si>
    <t>159.05M</t>
  </si>
  <si>
    <t>165.09M</t>
  </si>
  <si>
    <t>216.56M</t>
  </si>
  <si>
    <t>213.73M</t>
  </si>
  <si>
    <t>217.90M</t>
  </si>
  <si>
    <t>254.96M</t>
  </si>
  <si>
    <t>180.96M</t>
  </si>
  <si>
    <t>185.85M</t>
  </si>
  <si>
    <t>198.94M</t>
  </si>
  <si>
    <t>198.34M</t>
  </si>
  <si>
    <t>176.04M</t>
  </si>
  <si>
    <t>225.29M</t>
  </si>
  <si>
    <t>300.36M</t>
  </si>
  <si>
    <t>205.20M</t>
  </si>
  <si>
    <t>180.13M</t>
  </si>
  <si>
    <t>206.05M</t>
  </si>
  <si>
    <t>194.10M</t>
  </si>
  <si>
    <t>245.60M</t>
  </si>
  <si>
    <t>189.52M</t>
  </si>
  <si>
    <t>180.69M</t>
  </si>
  <si>
    <t>198.66M</t>
  </si>
  <si>
    <t>194.97M</t>
  </si>
  <si>
    <t>208.42M</t>
  </si>
  <si>
    <t>152.22M</t>
  </si>
  <si>
    <t>37.31M</t>
  </si>
  <si>
    <t>189.28M</t>
  </si>
  <si>
    <t>291.46M</t>
  </si>
  <si>
    <t>282.69M</t>
  </si>
  <si>
    <t>236.83M</t>
  </si>
  <si>
    <t>173.78M</t>
  </si>
  <si>
    <t>184.50M</t>
  </si>
  <si>
    <t>170.02M</t>
  </si>
  <si>
    <t>145.90M</t>
  </si>
  <si>
    <t>229.60M</t>
  </si>
  <si>
    <t>236.24M</t>
  </si>
  <si>
    <t>486.59M</t>
  </si>
  <si>
    <t>265.81M</t>
  </si>
  <si>
    <t>381.11M</t>
  </si>
  <si>
    <t>421.01M</t>
  </si>
  <si>
    <t>359.21M</t>
  </si>
  <si>
    <t>274.99M</t>
  </si>
  <si>
    <t>292.44M</t>
  </si>
  <si>
    <t>212.92M</t>
  </si>
  <si>
    <t>244.87M</t>
  </si>
  <si>
    <t>260.27M</t>
  </si>
  <si>
    <t>334.41M</t>
  </si>
  <si>
    <t>508.76M</t>
  </si>
  <si>
    <t>249.67M</t>
  </si>
  <si>
    <t>249.75M</t>
  </si>
  <si>
    <t>363.89M</t>
  </si>
  <si>
    <t>277.55M</t>
  </si>
  <si>
    <t>284.71M</t>
  </si>
  <si>
    <t>219.47M</t>
  </si>
  <si>
    <t>256.54M</t>
  </si>
  <si>
    <t>393.08M</t>
  </si>
  <si>
    <t>154.00M</t>
  </si>
  <si>
    <t>263.71M</t>
  </si>
  <si>
    <t>311.93M</t>
  </si>
  <si>
    <t>339.17M</t>
  </si>
  <si>
    <t>309.30M</t>
  </si>
  <si>
    <t>231.45M</t>
  </si>
  <si>
    <t>228.57M</t>
  </si>
  <si>
    <t>216.99M</t>
  </si>
  <si>
    <t>212.45M</t>
  </si>
  <si>
    <t>294.68M</t>
  </si>
  <si>
    <t>345.54M</t>
  </si>
  <si>
    <t>292.43M</t>
  </si>
  <si>
    <t>456.00M</t>
  </si>
  <si>
    <t>387.34M</t>
  </si>
  <si>
    <t>343.06M</t>
  </si>
  <si>
    <t>449.72M</t>
  </si>
  <si>
    <t>407.46M</t>
  </si>
  <si>
    <t>418.14M</t>
  </si>
  <si>
    <t>376.70M</t>
  </si>
  <si>
    <t>375.14M</t>
  </si>
  <si>
    <t>410.58M</t>
  </si>
  <si>
    <t>332.54M</t>
  </si>
  <si>
    <t>442.79M</t>
  </si>
  <si>
    <t>440.85M</t>
  </si>
  <si>
    <t>370.97M</t>
  </si>
  <si>
    <t>346.26M</t>
  </si>
  <si>
    <t>491.07M</t>
  </si>
  <si>
    <t>349.22M</t>
  </si>
  <si>
    <t>287.44M</t>
  </si>
  <si>
    <t>365.79M</t>
  </si>
  <si>
    <t>359.12M</t>
  </si>
  <si>
    <t>345.39M</t>
  </si>
  <si>
    <t>343.89M</t>
  </si>
  <si>
    <t>364.55M</t>
  </si>
  <si>
    <t>343.50M</t>
  </si>
  <si>
    <t>225.98M</t>
  </si>
  <si>
    <t>207.78M</t>
  </si>
  <si>
    <t>252.20M</t>
  </si>
  <si>
    <t>202.95M</t>
  </si>
  <si>
    <t>360.17M</t>
  </si>
  <si>
    <t>351.50M</t>
  </si>
  <si>
    <t>35.76M</t>
  </si>
  <si>
    <t>298.79M</t>
  </si>
  <si>
    <t>296.15M</t>
  </si>
  <si>
    <t>312.26M</t>
  </si>
  <si>
    <t>379.87M</t>
  </si>
  <si>
    <t>299.20M</t>
  </si>
  <si>
    <t>493.34M</t>
  </si>
  <si>
    <t>426.74M</t>
  </si>
  <si>
    <t>661.46M</t>
  </si>
  <si>
    <t>356.32M</t>
  </si>
  <si>
    <t>344.16M</t>
  </si>
  <si>
    <t>312.41M</t>
  </si>
  <si>
    <t>353.17M</t>
  </si>
  <si>
    <t>388.66M</t>
  </si>
  <si>
    <t>328.40M</t>
  </si>
  <si>
    <t>409.14M</t>
  </si>
  <si>
    <t>410.53M</t>
  </si>
  <si>
    <t>243.64M</t>
  </si>
  <si>
    <t>289.52M</t>
  </si>
  <si>
    <t>309.65M</t>
  </si>
  <si>
    <t>400.99M</t>
  </si>
  <si>
    <t>242.24M</t>
  </si>
  <si>
    <t>227.63M</t>
  </si>
  <si>
    <t>232.36M</t>
  </si>
  <si>
    <t>276.85M</t>
  </si>
  <si>
    <t>357.19M</t>
  </si>
  <si>
    <t>355.47M</t>
  </si>
  <si>
    <t>317.27M</t>
  </si>
  <si>
    <t>456.91M</t>
  </si>
  <si>
    <t>362.53M</t>
  </si>
  <si>
    <t>279.26M</t>
  </si>
  <si>
    <t>231.52M</t>
  </si>
  <si>
    <t>235.90M</t>
  </si>
  <si>
    <t>475.04M</t>
  </si>
  <si>
    <t>329.89M</t>
  </si>
  <si>
    <t>291.96M</t>
  </si>
  <si>
    <t>361.86M</t>
  </si>
  <si>
    <t>445.91M</t>
  </si>
  <si>
    <t>438.06M</t>
  </si>
  <si>
    <t>320.26M</t>
  </si>
  <si>
    <t>297.82M</t>
  </si>
  <si>
    <t>277.44M</t>
  </si>
  <si>
    <t>331.33M</t>
  </si>
  <si>
    <t>265.80M</t>
  </si>
  <si>
    <t>278.19M</t>
  </si>
  <si>
    <t>230.24M</t>
  </si>
  <si>
    <t>231.94M</t>
  </si>
  <si>
    <t>368.95M</t>
  </si>
  <si>
    <t>242.65M</t>
  </si>
  <si>
    <t>19.06M</t>
  </si>
  <si>
    <t>347.59M</t>
  </si>
  <si>
    <t>290.35M</t>
  </si>
  <si>
    <t>369.77M</t>
  </si>
  <si>
    <t>261.93M</t>
  </si>
  <si>
    <t>260.01M</t>
  </si>
  <si>
    <t>217.89M</t>
  </si>
  <si>
    <t>269.93M</t>
  </si>
  <si>
    <t>373.37M</t>
  </si>
  <si>
    <t>572.12M</t>
  </si>
  <si>
    <t>569.43M</t>
  </si>
  <si>
    <t>1.01B</t>
  </si>
  <si>
    <t>638.49M</t>
  </si>
  <si>
    <t>480.41M</t>
  </si>
  <si>
    <t>473.55M</t>
  </si>
  <si>
    <t>304.39M</t>
  </si>
  <si>
    <t>305.19M</t>
  </si>
  <si>
    <t>268.28M</t>
  </si>
  <si>
    <t>223.09M</t>
  </si>
  <si>
    <t>272.21M</t>
  </si>
  <si>
    <t>328.81M</t>
  </si>
  <si>
    <t>280.34M</t>
  </si>
  <si>
    <t>609.88M</t>
  </si>
  <si>
    <t>239.36M</t>
  </si>
  <si>
    <t>298.11M</t>
  </si>
  <si>
    <t>287.82M</t>
  </si>
  <si>
    <t>515.23M</t>
  </si>
  <si>
    <t>354.78M</t>
  </si>
  <si>
    <t>242.47M</t>
  </si>
  <si>
    <t>309.63M</t>
  </si>
  <si>
    <t>289.20M</t>
  </si>
  <si>
    <t>251.19M</t>
  </si>
  <si>
    <t>298.38M</t>
  </si>
  <si>
    <t>266.30M</t>
  </si>
  <si>
    <t>250.54M</t>
  </si>
  <si>
    <t>292.26M</t>
  </si>
  <si>
    <t>306.40M</t>
  </si>
  <si>
    <t>325.82M</t>
  </si>
  <si>
    <t>305.40M</t>
  </si>
  <si>
    <t>283.21M</t>
  </si>
  <si>
    <t>350.92M</t>
  </si>
  <si>
    <t>343.77M</t>
  </si>
  <si>
    <t>324.19M</t>
  </si>
  <si>
    <t>436.41M</t>
  </si>
  <si>
    <t>366.62M</t>
  </si>
  <si>
    <t>391.82M</t>
  </si>
  <si>
    <t>383.83M</t>
  </si>
  <si>
    <t>354.97M</t>
  </si>
  <si>
    <t>384.99M</t>
  </si>
  <si>
    <t>333.65M</t>
  </si>
  <si>
    <t>431.31M</t>
  </si>
  <si>
    <t>345.03M</t>
  </si>
  <si>
    <t>486.99M</t>
  </si>
  <si>
    <t>312.34M</t>
  </si>
  <si>
    <t>317.56M</t>
  </si>
  <si>
    <t>311.88M</t>
  </si>
  <si>
    <t>215.13M</t>
  </si>
  <si>
    <t>279.93M</t>
  </si>
  <si>
    <t>239.73M</t>
  </si>
  <si>
    <t>303.25M</t>
  </si>
  <si>
    <t>271.61M</t>
  </si>
  <si>
    <t>243.65M</t>
  </si>
  <si>
    <t>238.32M</t>
  </si>
  <si>
    <t>257.11M</t>
  </si>
  <si>
    <t>220.35M</t>
  </si>
  <si>
    <t>206.80M</t>
  </si>
  <si>
    <t>210.27M</t>
  </si>
  <si>
    <t>223.35M</t>
  </si>
  <si>
    <t>220.42M</t>
  </si>
  <si>
    <t>353.99M</t>
  </si>
  <si>
    <t>638.17M</t>
  </si>
  <si>
    <t>222.82M</t>
  </si>
  <si>
    <t>212.13M</t>
  </si>
  <si>
    <t>253.79M</t>
  </si>
  <si>
    <t>222.24M</t>
  </si>
  <si>
    <t>311.67M</t>
  </si>
  <si>
    <t>254.37M</t>
  </si>
  <si>
    <t>251.27M</t>
  </si>
  <si>
    <t>279.23M</t>
  </si>
  <si>
    <t>380.07M</t>
  </si>
  <si>
    <t>250.78M</t>
  </si>
  <si>
    <t>168.69M</t>
  </si>
  <si>
    <t>215.96M</t>
  </si>
  <si>
    <t>215.73M</t>
  </si>
  <si>
    <t>314.46M</t>
  </si>
  <si>
    <t>533.07M</t>
  </si>
  <si>
    <t>209.19M</t>
  </si>
  <si>
    <t>384.12M</t>
  </si>
  <si>
    <t>278.54M</t>
  </si>
  <si>
    <t>370.90M</t>
  </si>
  <si>
    <t>490.33M</t>
  </si>
  <si>
    <t>247.42M</t>
  </si>
  <si>
    <t>423.40M</t>
  </si>
  <si>
    <t>374.91M</t>
  </si>
  <si>
    <t>374.35M</t>
  </si>
  <si>
    <t>333.22M</t>
  </si>
  <si>
    <t>290.56M</t>
  </si>
  <si>
    <t>261.36M</t>
  </si>
  <si>
    <t>210.46M</t>
  </si>
  <si>
    <t>206.42M</t>
  </si>
  <si>
    <t>226.77M</t>
  </si>
  <si>
    <t>252.76M</t>
  </si>
  <si>
    <t>290.86M</t>
  </si>
  <si>
    <t>241.98M</t>
  </si>
  <si>
    <t>279.48M</t>
  </si>
  <si>
    <t>284.56M</t>
  </si>
  <si>
    <t>216.69M</t>
  </si>
  <si>
    <t>372.64M</t>
  </si>
  <si>
    <t>278.56M</t>
  </si>
  <si>
    <t>332.04M</t>
  </si>
  <si>
    <t>287.01M</t>
  </si>
  <si>
    <t>38.81M</t>
  </si>
  <si>
    <t>285.53M</t>
  </si>
  <si>
    <t>289.51M</t>
  </si>
  <si>
    <t>351.08M</t>
  </si>
  <si>
    <t>322.19M</t>
  </si>
  <si>
    <t>298.73M</t>
  </si>
  <si>
    <t>273.37M</t>
  </si>
  <si>
    <t>255.83M</t>
  </si>
  <si>
    <t>304.57M</t>
  </si>
  <si>
    <t>257.71M</t>
  </si>
  <si>
    <t>263.31M</t>
  </si>
  <si>
    <t>297.48M</t>
  </si>
  <si>
    <t>420.33M</t>
  </si>
  <si>
    <t>367.56M</t>
  </si>
  <si>
    <t>687.17M</t>
  </si>
  <si>
    <t>230.69M</t>
  </si>
  <si>
    <t>295.01M</t>
  </si>
  <si>
    <t>366.75M</t>
  </si>
  <si>
    <t>282.10M</t>
  </si>
  <si>
    <t>220.38M</t>
  </si>
  <si>
    <t>339.47M</t>
  </si>
  <si>
    <t>348.00M</t>
  </si>
  <si>
    <t>361.47M</t>
  </si>
  <si>
    <t>226.73M</t>
  </si>
  <si>
    <t>248.14M</t>
  </si>
  <si>
    <t>261.05M</t>
  </si>
  <si>
    <t>187.25M</t>
  </si>
  <si>
    <t>266.05M</t>
  </si>
  <si>
    <t>310.08M</t>
  </si>
  <si>
    <t>187.55M</t>
  </si>
  <si>
    <t>264.88M</t>
  </si>
  <si>
    <t>235.35M</t>
  </si>
  <si>
    <t>271.13M</t>
  </si>
  <si>
    <t>442.71M</t>
  </si>
  <si>
    <t>189.76M</t>
  </si>
  <si>
    <t>177.66M</t>
  </si>
  <si>
    <t>176.82M</t>
  </si>
  <si>
    <t>364.93M</t>
  </si>
  <si>
    <t>193.63M</t>
  </si>
  <si>
    <t>154.92M</t>
  </si>
  <si>
    <t>283.20M</t>
  </si>
  <si>
    <t>312.28M</t>
  </si>
  <si>
    <t>278.06M</t>
  </si>
  <si>
    <t>262.34M</t>
  </si>
  <si>
    <t>266.38M</t>
  </si>
  <si>
    <t>269.24M</t>
  </si>
  <si>
    <t>261.02M</t>
  </si>
  <si>
    <t>316.48M</t>
  </si>
  <si>
    <t>311.24M</t>
  </si>
  <si>
    <t>299.42M</t>
  </si>
  <si>
    <t>272.95M</t>
  </si>
  <si>
    <t>301.46M</t>
  </si>
  <si>
    <t>312.87M</t>
  </si>
  <si>
    <t>275.95M</t>
  </si>
  <si>
    <t>275.56M</t>
  </si>
  <si>
    <t>264.34M</t>
  </si>
  <si>
    <t>257.37M</t>
  </si>
  <si>
    <t>361.87M</t>
  </si>
  <si>
    <t>226.31M</t>
  </si>
  <si>
    <t>361.93M</t>
  </si>
  <si>
    <t>304.86M</t>
  </si>
  <si>
    <t>281.01M</t>
  </si>
  <si>
    <t>329.67M</t>
  </si>
  <si>
    <t>376.74M</t>
  </si>
  <si>
    <t>267.01M</t>
  </si>
  <si>
    <t>306.98M</t>
  </si>
  <si>
    <t>368.09M</t>
  </si>
  <si>
    <t>234.20M</t>
  </si>
  <si>
    <t>267.97M</t>
  </si>
  <si>
    <t>279.66M</t>
  </si>
  <si>
    <t>265.71M</t>
  </si>
  <si>
    <t>254.48M</t>
  </si>
  <si>
    <t>207.39M</t>
  </si>
  <si>
    <t>210.62M</t>
  </si>
  <si>
    <t>207.00M</t>
  </si>
  <si>
    <t>240.84M</t>
  </si>
  <si>
    <t>242.75M</t>
  </si>
  <si>
    <t>214.32M</t>
  </si>
  <si>
    <t>250.28M</t>
  </si>
  <si>
    <t>289.23M</t>
  </si>
  <si>
    <t>551.29M</t>
  </si>
  <si>
    <t>282.40M</t>
  </si>
  <si>
    <t>253.26M</t>
  </si>
  <si>
    <t>305.94M</t>
  </si>
  <si>
    <t>372.08M</t>
  </si>
  <si>
    <t>289.77M</t>
  </si>
  <si>
    <t>293.86M</t>
  </si>
  <si>
    <t>347.92M</t>
  </si>
  <si>
    <t>369.74M</t>
  </si>
  <si>
    <t>251.10M</t>
  </si>
  <si>
    <t>272.58M</t>
  </si>
  <si>
    <t>323.99M</t>
  </si>
  <si>
    <t>313.73M</t>
  </si>
  <si>
    <t>540.97M</t>
  </si>
  <si>
    <t>311.90M</t>
  </si>
  <si>
    <t>338.22M</t>
  </si>
  <si>
    <t>278.59M</t>
  </si>
  <si>
    <t>510.30M</t>
  </si>
  <si>
    <t>295.36M</t>
  </si>
  <si>
    <t>340.97M</t>
  </si>
  <si>
    <t>466.78M</t>
  </si>
  <si>
    <t>647.11M</t>
  </si>
  <si>
    <t>468.25M</t>
  </si>
  <si>
    <t>383.82M</t>
  </si>
  <si>
    <t>402.16M</t>
  </si>
  <si>
    <t>388.32M</t>
  </si>
  <si>
    <t>348.42M</t>
  </si>
  <si>
    <t>505.33M</t>
  </si>
  <si>
    <t>406.15M</t>
  </si>
  <si>
    <t>440.94M</t>
  </si>
  <si>
    <t>415.04M</t>
  </si>
  <si>
    <t>358.77M</t>
  </si>
  <si>
    <t>387.74M</t>
  </si>
  <si>
    <t>320.47M</t>
  </si>
  <si>
    <t>357.56M</t>
  </si>
  <si>
    <t>424.45M</t>
  </si>
  <si>
    <t>421.11M</t>
  </si>
  <si>
    <t>291.47M</t>
  </si>
  <si>
    <t>302.35M</t>
  </si>
  <si>
    <t>330.14M</t>
  </si>
  <si>
    <t>411.36M</t>
  </si>
  <si>
    <t>335.55M</t>
  </si>
  <si>
    <t>368.71M</t>
  </si>
  <si>
    <t>422.98M</t>
  </si>
  <si>
    <t>345.49M</t>
  </si>
  <si>
    <t>500.82M</t>
  </si>
  <si>
    <t>432.72M</t>
  </si>
  <si>
    <t>255.25M</t>
  </si>
  <si>
    <t>414.80M</t>
  </si>
  <si>
    <t>332.72M</t>
  </si>
  <si>
    <t>403.28M</t>
  </si>
  <si>
    <t>270.47M</t>
  </si>
  <si>
    <t>302.80M</t>
  </si>
  <si>
    <t>525.65M</t>
  </si>
  <si>
    <t>684.43M</t>
  </si>
  <si>
    <t>345.37M</t>
  </si>
  <si>
    <t>853.89M</t>
  </si>
  <si>
    <t>311.10M</t>
  </si>
  <si>
    <t>349.29M</t>
  </si>
  <si>
    <t>280.86M</t>
  </si>
  <si>
    <t>388.41M</t>
  </si>
  <si>
    <t>335.58M</t>
  </si>
  <si>
    <t>279.22M</t>
  </si>
  <si>
    <t>307.32M</t>
  </si>
  <si>
    <t>301.25M</t>
  </si>
  <si>
    <t>328.31M</t>
  </si>
  <si>
    <t>318.71M</t>
  </si>
  <si>
    <t>305.81M</t>
  </si>
  <si>
    <t>242.42M</t>
  </si>
  <si>
    <t>237.60M</t>
  </si>
  <si>
    <t>274.62M</t>
  </si>
  <si>
    <t>574.65M</t>
  </si>
  <si>
    <t>248.53M</t>
  </si>
  <si>
    <t>450.19M</t>
  </si>
  <si>
    <t>260.58M</t>
  </si>
  <si>
    <t>428.89M</t>
  </si>
  <si>
    <t>563.96M</t>
  </si>
  <si>
    <t>270.98M</t>
  </si>
  <si>
    <t>260.67M</t>
  </si>
  <si>
    <t>309.83M</t>
  </si>
  <si>
    <t>293.43M</t>
  </si>
  <si>
    <t>193.51M</t>
  </si>
  <si>
    <t>196.05M</t>
  </si>
  <si>
    <t>210.41M</t>
  </si>
  <si>
    <t>239.08M</t>
  </si>
  <si>
    <t>219.61M</t>
  </si>
  <si>
    <t>249.99M</t>
  </si>
  <si>
    <t>259.53M</t>
  </si>
  <si>
    <t>241.34M</t>
  </si>
  <si>
    <t>228.82M</t>
  </si>
  <si>
    <t>243.41M</t>
  </si>
  <si>
    <t>316.98M</t>
  </si>
  <si>
    <t>305.22M</t>
  </si>
  <si>
    <t>483.73M</t>
  </si>
  <si>
    <t>271.54M</t>
  </si>
  <si>
    <t>338.73M</t>
  </si>
  <si>
    <t>278.14M</t>
  </si>
  <si>
    <t>262.14M</t>
  </si>
  <si>
    <t>284.66M</t>
  </si>
  <si>
    <t>243.89M</t>
  </si>
  <si>
    <t>346.30M</t>
  </si>
  <si>
    <t>263.36M</t>
  </si>
  <si>
    <t>259.33M</t>
  </si>
  <si>
    <t>251.85M</t>
  </si>
  <si>
    <t>225.09M</t>
  </si>
  <si>
    <t>616.74M</t>
  </si>
  <si>
    <t>312.63M</t>
  </si>
  <si>
    <t>241.15M</t>
  </si>
  <si>
    <t>237.00M</t>
  </si>
  <si>
    <t>236.01M</t>
  </si>
  <si>
    <t>270.16M</t>
  </si>
  <si>
    <t>363.07M</t>
  </si>
  <si>
    <t>252.34M</t>
  </si>
  <si>
    <t>287.05M</t>
  </si>
  <si>
    <t>226.54M</t>
  </si>
  <si>
    <t>210.17M</t>
  </si>
  <si>
    <t>213.03M</t>
  </si>
  <si>
    <t>750.47M</t>
  </si>
  <si>
    <t>326.60M</t>
  </si>
  <si>
    <t>325.52M</t>
  </si>
  <si>
    <t>229.33M</t>
  </si>
  <si>
    <t>271.56M</t>
  </si>
  <si>
    <t>340.28M</t>
  </si>
  <si>
    <t>314.09M</t>
  </si>
  <si>
    <t>210.07M</t>
  </si>
  <si>
    <t>213.23M</t>
  </si>
  <si>
    <t>244.15M</t>
  </si>
  <si>
    <t>224.57M</t>
  </si>
  <si>
    <t>225.74M</t>
  </si>
  <si>
    <t>185.38M</t>
  </si>
  <si>
    <t>240.12M</t>
  </si>
  <si>
    <t>268.94M</t>
  </si>
  <si>
    <t>272.19M</t>
  </si>
  <si>
    <t>380.36M</t>
  </si>
  <si>
    <t>254.51M</t>
  </si>
  <si>
    <t>244.38M</t>
  </si>
  <si>
    <t>342.53M</t>
  </si>
  <si>
    <t>291.54M</t>
  </si>
  <si>
    <t>394.39M</t>
  </si>
  <si>
    <t>303.04M</t>
  </si>
  <si>
    <t>308.90M</t>
  </si>
  <si>
    <t>365.85M</t>
  </si>
  <si>
    <t>268.79M</t>
  </si>
  <si>
    <t>227.44M</t>
  </si>
  <si>
    <t>286.25M</t>
  </si>
  <si>
    <t>232.94M</t>
  </si>
  <si>
    <t>234.29M</t>
  </si>
  <si>
    <t>292.13M</t>
  </si>
  <si>
    <t>289.93M</t>
  </si>
  <si>
    <t>372.78M</t>
  </si>
  <si>
    <t>422.06M</t>
  </si>
  <si>
    <t>301.13M</t>
  </si>
  <si>
    <t>42.47M</t>
  </si>
  <si>
    <t>448.40M</t>
  </si>
  <si>
    <t>284.91M</t>
  </si>
  <si>
    <t>266.34M</t>
  </si>
  <si>
    <t>395.23M</t>
  </si>
  <si>
    <t>321.88M</t>
  </si>
  <si>
    <t>334.38M</t>
  </si>
  <si>
    <t>23.35M</t>
  </si>
  <si>
    <t>305.14M</t>
  </si>
  <si>
    <t>371.85M</t>
  </si>
  <si>
    <t>305.61M</t>
  </si>
  <si>
    <t>243.59M</t>
  </si>
  <si>
    <t>297.71M</t>
  </si>
  <si>
    <t>312.59M</t>
  </si>
  <si>
    <t>385.17M</t>
  </si>
  <si>
    <t>518.94M</t>
  </si>
  <si>
    <t>281.77M</t>
  </si>
  <si>
    <t>280.00M</t>
  </si>
  <si>
    <t>250.11M</t>
  </si>
  <si>
    <t>240.43M</t>
  </si>
  <si>
    <t>235.58M</t>
  </si>
  <si>
    <t>464.65M</t>
  </si>
  <si>
    <t>260.45M</t>
  </si>
  <si>
    <t>275.26M</t>
  </si>
  <si>
    <t>240.29M</t>
  </si>
  <si>
    <t>202.51M</t>
  </si>
  <si>
    <t>213.83M</t>
  </si>
  <si>
    <t>254.80M</t>
  </si>
  <si>
    <t>265.66M</t>
  </si>
  <si>
    <t>248.10M</t>
  </si>
  <si>
    <t>249.25M</t>
  </si>
  <si>
    <t>320.73M</t>
  </si>
  <si>
    <t>275.98M</t>
  </si>
  <si>
    <t>207.94M</t>
  </si>
  <si>
    <t>206.10M</t>
  </si>
  <si>
    <t>216.34M</t>
  </si>
  <si>
    <t>181.56M</t>
  </si>
  <si>
    <t>264.35M</t>
  </si>
  <si>
    <t>206.52M</t>
  </si>
  <si>
    <t>197.55M</t>
  </si>
  <si>
    <t>382.93M</t>
  </si>
  <si>
    <t>252.99M</t>
  </si>
  <si>
    <t>216.55M</t>
  </si>
  <si>
    <t>188.85M</t>
  </si>
  <si>
    <t>142.24M</t>
  </si>
  <si>
    <t>234.31M</t>
  </si>
  <si>
    <t>396.89M</t>
  </si>
  <si>
    <t>246.31M</t>
  </si>
  <si>
    <t>425.63M</t>
  </si>
  <si>
    <t>357.55M</t>
  </si>
  <si>
    <t>338.78M</t>
  </si>
  <si>
    <t>383.04M</t>
  </si>
  <si>
    <t>328.52M</t>
  </si>
  <si>
    <t>348.76M</t>
  </si>
  <si>
    <t>275.76M</t>
  </si>
  <si>
    <t>339.54M</t>
  </si>
  <si>
    <t>393.13M</t>
  </si>
  <si>
    <t>434.04M</t>
  </si>
  <si>
    <t>443.09M</t>
  </si>
  <si>
    <t>409.77M</t>
  </si>
  <si>
    <t>395.62M</t>
  </si>
  <si>
    <t>486.40M</t>
  </si>
  <si>
    <t>393.94M</t>
  </si>
  <si>
    <t>618.70M</t>
  </si>
  <si>
    <t>574.90M</t>
  </si>
  <si>
    <t>582.39M</t>
  </si>
  <si>
    <t>508.39M</t>
  </si>
  <si>
    <t>379.37M</t>
  </si>
  <si>
    <t>449.22M</t>
  </si>
  <si>
    <t>637.26M</t>
  </si>
  <si>
    <t>429.79M</t>
  </si>
  <si>
    <t>343.81M</t>
  </si>
  <si>
    <t>375.48M</t>
  </si>
  <si>
    <t>359.39M</t>
  </si>
  <si>
    <t>460.88M</t>
  </si>
  <si>
    <t>331.39M</t>
  </si>
  <si>
    <t>419.39M</t>
  </si>
  <si>
    <t>453.52M</t>
  </si>
  <si>
    <t>275.77M</t>
  </si>
  <si>
    <t>344.12M</t>
  </si>
  <si>
    <t>310.23M</t>
  </si>
  <si>
    <t>298.23M</t>
  </si>
  <si>
    <t>296.58M</t>
  </si>
  <si>
    <t>313.68M</t>
  </si>
  <si>
    <t>439.07M</t>
  </si>
  <si>
    <t>414.21M</t>
  </si>
  <si>
    <t>405.22M</t>
  </si>
  <si>
    <t>438.92M</t>
  </si>
  <si>
    <t>519.23M</t>
  </si>
  <si>
    <t>598.99M</t>
  </si>
  <si>
    <t>504.34M</t>
  </si>
  <si>
    <t>433.41M</t>
  </si>
  <si>
    <t>526.90M</t>
  </si>
  <si>
    <t>444.28M</t>
  </si>
  <si>
    <t>407.40M</t>
  </si>
  <si>
    <t>501.00M</t>
  </si>
  <si>
    <t>519.78M</t>
  </si>
  <si>
    <t>540.29M</t>
  </si>
  <si>
    <t>458.79M</t>
  </si>
  <si>
    <t>382.88M</t>
  </si>
  <si>
    <t>550.15M</t>
  </si>
  <si>
    <t>663.29M</t>
  </si>
  <si>
    <t>550.28M</t>
  </si>
  <si>
    <t>538.10M</t>
  </si>
  <si>
    <t>505.42M</t>
  </si>
  <si>
    <t>612.56M</t>
  </si>
  <si>
    <t>698.60M</t>
  </si>
  <si>
    <t>Change %</t>
  </si>
  <si>
    <t>Vol.</t>
  </si>
  <si>
    <t>Low</t>
  </si>
  <si>
    <t>High</t>
  </si>
  <si>
    <t>Open</t>
  </si>
  <si>
    <t>Adani Ent.</t>
  </si>
  <si>
    <t>Capital Structure Of Adani Enterprices Ltd.</t>
  </si>
  <si>
    <t>PE Valuation Of Adani Enterprices Ltd.</t>
  </si>
  <si>
    <t>ADANI ENTERPRISES LTD .</t>
  </si>
  <si>
    <t>Field</t>
  </si>
  <si>
    <t>Details</t>
  </si>
  <si>
    <t>Project</t>
  </si>
  <si>
    <t>Adani Enterprises Financial Analysis</t>
  </si>
  <si>
    <t>Domain</t>
  </si>
  <si>
    <t>Corporate Finance</t>
  </si>
  <si>
    <t>Tools Used</t>
  </si>
  <si>
    <t>Excel, Financial Modeling</t>
  </si>
  <si>
    <t>Analysis Includes</t>
  </si>
  <si>
    <t>Beta, WACC, Cost of Debt, PE Valuation</t>
  </si>
  <si>
    <t>Company</t>
  </si>
  <si>
    <t>Adani Enterprises Ltd</t>
  </si>
  <si>
    <t>Project 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</si>
</sst>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[$-F800]dddd\,\ mmmm\ dd\,\ yyyy"/>
    <numFmt numFmtId="167" formatCode="0.0%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53">
    <xf numFmtId="0" fontId="0" fillId="0" borderId="0" xfId="0"/>
    <xf numFmtId="43" fontId="1" fillId="0" borderId="0" xfId="1" applyFont="1" applyBorder="1"/>
    <xf numFmtId="0" fontId="1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1" fillId="0" borderId="0" xfId="4" applyFont="1" applyBorder="1"/>
    <xf numFmtId="165" fontId="2" fillId="3" borderId="0" xfId="0" applyNumberFormat="1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164" fontId="0" fillId="0" borderId="0" xfId="1" applyNumberFormat="1" applyFont="1" applyBorder="1"/>
    <xf numFmtId="4" fontId="0" fillId="0" borderId="0" xfId="0" applyNumberFormat="1"/>
    <xf numFmtId="10" fontId="0" fillId="0" borderId="0" xfId="4" applyNumberFormat="1" applyFont="1"/>
    <xf numFmtId="43" fontId="7" fillId="0" borderId="0" xfId="0" applyNumberFormat="1" applyFont="1"/>
    <xf numFmtId="43" fontId="8" fillId="0" borderId="0" xfId="0" applyNumberFormat="1" applyFont="1"/>
    <xf numFmtId="167" fontId="0" fillId="0" borderId="0" xfId="4" applyNumberFormat="1" applyFont="1"/>
    <xf numFmtId="2" fontId="0" fillId="0" borderId="0" xfId="0" applyNumberFormat="1"/>
    <xf numFmtId="10" fontId="1" fillId="0" borderId="0" xfId="4" applyNumberFormat="1" applyFont="1"/>
    <xf numFmtId="43" fontId="0" fillId="0" borderId="0" xfId="0" applyNumberFormat="1"/>
    <xf numFmtId="167" fontId="1" fillId="0" borderId="0" xfId="4" applyNumberFormat="1" applyFont="1"/>
    <xf numFmtId="0" fontId="2" fillId="4" borderId="0" xfId="0" applyFont="1" applyFill="1"/>
    <xf numFmtId="165" fontId="2" fillId="4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66" fontId="5" fillId="5" borderId="0" xfId="0" applyNumberFormat="1" applyFont="1" applyFill="1" applyAlignment="1">
      <alignment horizontal="center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left"/>
    </xf>
    <xf numFmtId="10" fontId="0" fillId="6" borderId="0" xfId="0" applyNumberFormat="1" applyFill="1" applyAlignment="1">
      <alignment horizontal="left"/>
    </xf>
    <xf numFmtId="10" fontId="0" fillId="6" borderId="0" xfId="4" applyNumberFormat="1" applyFont="1" applyFill="1" applyAlignment="1">
      <alignment horizontal="left"/>
    </xf>
    <xf numFmtId="10" fontId="0" fillId="6" borderId="0" xfId="0" applyNumberFormat="1" applyFill="1"/>
    <xf numFmtId="10" fontId="1" fillId="6" borderId="0" xfId="0" applyNumberFormat="1" applyFont="1" applyFill="1"/>
    <xf numFmtId="10" fontId="1" fillId="6" borderId="0" xfId="4" applyNumberFormat="1" applyFont="1" applyFill="1" applyAlignment="1">
      <alignment horizontal="left"/>
    </xf>
    <xf numFmtId="0" fontId="9" fillId="5" borderId="0" xfId="0" applyFont="1" applyFill="1"/>
    <xf numFmtId="0" fontId="9" fillId="5" borderId="0" xfId="0" applyFont="1" applyFill="1" applyAlignment="1">
      <alignment horizontal="center"/>
    </xf>
    <xf numFmtId="0" fontId="10" fillId="0" borderId="0" xfId="0" applyFont="1"/>
    <xf numFmtId="0" fontId="5" fillId="4" borderId="0" xfId="0" applyFont="1" applyFill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43" fontId="1" fillId="6" borderId="0" xfId="0" applyNumberFormat="1" applyFont="1" applyFill="1" applyAlignment="1">
      <alignment horizontal="left" indent="1"/>
    </xf>
    <xf numFmtId="43" fontId="2" fillId="5" borderId="0" xfId="0" applyNumberFormat="1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2" borderId="0" xfId="3" applyNumberFormat="1" applyFont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1" fillId="6" borderId="0" xfId="0" applyFont="1" applyFill="1"/>
    <xf numFmtId="0" fontId="1" fillId="6" borderId="0" xfId="0" applyFont="1" applyFill="1" applyAlignment="1">
      <alignment horizontal="left"/>
    </xf>
    <xf numFmtId="0" fontId="2" fillId="5" borderId="1" xfId="0" applyFont="1" applyFill="1" applyBorder="1" applyAlignment="1">
      <alignment vertical="center" wrapText="1"/>
    </xf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10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66CCFF"/>
      <color rgb="FF003399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'Beta Analysis'!$B$1</c:f>
              <c:strCache>
                <c:ptCount val="1"/>
                <c:pt idx="0">
                  <c:v>Adani Ent.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'Beta Analysis'!$B$2:$B$1240</c:f>
              <c:numCache>
                <c:formatCode>#,##0.00</c:formatCode>
                <c:ptCount val="1239"/>
                <c:pt idx="0">
                  <c:v>1758.8</c:v>
                </c:pt>
                <c:pt idx="1">
                  <c:v>1823</c:v>
                </c:pt>
                <c:pt idx="2">
                  <c:v>1886.6</c:v>
                </c:pt>
                <c:pt idx="3">
                  <c:v>1817.9</c:v>
                </c:pt>
                <c:pt idx="4">
                  <c:v>1833</c:v>
                </c:pt>
                <c:pt idx="5">
                  <c:v>1927.1</c:v>
                </c:pt>
                <c:pt idx="6">
                  <c:v>1936.8</c:v>
                </c:pt>
                <c:pt idx="7">
                  <c:v>2007.2</c:v>
                </c:pt>
                <c:pt idx="8">
                  <c:v>1975.4</c:v>
                </c:pt>
                <c:pt idx="9">
                  <c:v>1978</c:v>
                </c:pt>
                <c:pt idx="10">
                  <c:v>1961.1</c:v>
                </c:pt>
                <c:pt idx="11">
                  <c:v>2002</c:v>
                </c:pt>
                <c:pt idx="12">
                  <c:v>1974.7</c:v>
                </c:pt>
                <c:pt idx="13">
                  <c:v>1996.5</c:v>
                </c:pt>
                <c:pt idx="14">
                  <c:v>1999.2</c:v>
                </c:pt>
                <c:pt idx="15">
                  <c:v>2039.9</c:v>
                </c:pt>
                <c:pt idx="16">
                  <c:v>2089.1999999999998</c:v>
                </c:pt>
                <c:pt idx="17">
                  <c:v>2076.5</c:v>
                </c:pt>
                <c:pt idx="18">
                  <c:v>2124.6</c:v>
                </c:pt>
                <c:pt idx="19">
                  <c:v>2161.8000000000002</c:v>
                </c:pt>
                <c:pt idx="20">
                  <c:v>2216.4</c:v>
                </c:pt>
                <c:pt idx="21">
                  <c:v>2231.6999999999998</c:v>
                </c:pt>
                <c:pt idx="22">
                  <c:v>2183</c:v>
                </c:pt>
                <c:pt idx="23">
                  <c:v>2191</c:v>
                </c:pt>
                <c:pt idx="24">
                  <c:v>2160.8000000000002</c:v>
                </c:pt>
                <c:pt idx="25">
                  <c:v>2156.6999999999998</c:v>
                </c:pt>
                <c:pt idx="26">
                  <c:v>2211.1999999999998</c:v>
                </c:pt>
                <c:pt idx="27">
                  <c:v>2242.9</c:v>
                </c:pt>
                <c:pt idx="28">
                  <c:v>2184.6</c:v>
                </c:pt>
                <c:pt idx="29">
                  <c:v>2136.6</c:v>
                </c:pt>
                <c:pt idx="30">
                  <c:v>2211.8000000000002</c:v>
                </c:pt>
                <c:pt idx="31">
                  <c:v>2234.4</c:v>
                </c:pt>
                <c:pt idx="32">
                  <c:v>2228.4</c:v>
                </c:pt>
                <c:pt idx="33">
                  <c:v>2250.1</c:v>
                </c:pt>
                <c:pt idx="34">
                  <c:v>2226.4</c:v>
                </c:pt>
                <c:pt idx="35">
                  <c:v>2236.6</c:v>
                </c:pt>
                <c:pt idx="36">
                  <c:v>2228.1999999999998</c:v>
                </c:pt>
                <c:pt idx="37">
                  <c:v>2202.6</c:v>
                </c:pt>
                <c:pt idx="38">
                  <c:v>1995.4</c:v>
                </c:pt>
                <c:pt idx="39">
                  <c:v>1942.8</c:v>
                </c:pt>
                <c:pt idx="40">
                  <c:v>2020.4</c:v>
                </c:pt>
                <c:pt idx="41">
                  <c:v>2019.2</c:v>
                </c:pt>
                <c:pt idx="42">
                  <c:v>1994.7</c:v>
                </c:pt>
                <c:pt idx="43">
                  <c:v>1959.5</c:v>
                </c:pt>
                <c:pt idx="44">
                  <c:v>1864.2</c:v>
                </c:pt>
                <c:pt idx="45">
                  <c:v>2086.4</c:v>
                </c:pt>
                <c:pt idx="46">
                  <c:v>2032.2</c:v>
                </c:pt>
                <c:pt idx="47">
                  <c:v>2055.1</c:v>
                </c:pt>
                <c:pt idx="48">
                  <c:v>2134.6</c:v>
                </c:pt>
                <c:pt idx="49">
                  <c:v>2157.3000000000002</c:v>
                </c:pt>
                <c:pt idx="50">
                  <c:v>2153.3000000000002</c:v>
                </c:pt>
                <c:pt idx="51">
                  <c:v>2158.5</c:v>
                </c:pt>
                <c:pt idx="52">
                  <c:v>2171.6</c:v>
                </c:pt>
                <c:pt idx="53">
                  <c:v>2153.6999999999998</c:v>
                </c:pt>
                <c:pt idx="54">
                  <c:v>2214</c:v>
                </c:pt>
                <c:pt idx="55">
                  <c:v>2274.1</c:v>
                </c:pt>
                <c:pt idx="56">
                  <c:v>2259.1</c:v>
                </c:pt>
                <c:pt idx="57">
                  <c:v>2279.5</c:v>
                </c:pt>
                <c:pt idx="58">
                  <c:v>2279.8000000000002</c:v>
                </c:pt>
                <c:pt idx="59">
                  <c:v>2260</c:v>
                </c:pt>
                <c:pt idx="60">
                  <c:v>2239.6999999999998</c:v>
                </c:pt>
                <c:pt idx="61">
                  <c:v>2214.6999999999998</c:v>
                </c:pt>
                <c:pt idx="62">
                  <c:v>2203.1999999999998</c:v>
                </c:pt>
                <c:pt idx="63">
                  <c:v>2229.9</c:v>
                </c:pt>
                <c:pt idx="64">
                  <c:v>2222.6999999999998</c:v>
                </c:pt>
                <c:pt idx="65">
                  <c:v>2248.8000000000002</c:v>
                </c:pt>
                <c:pt idx="66">
                  <c:v>2263.5</c:v>
                </c:pt>
                <c:pt idx="67">
                  <c:v>2239</c:v>
                </c:pt>
                <c:pt idx="68">
                  <c:v>2229.3000000000002</c:v>
                </c:pt>
                <c:pt idx="69">
                  <c:v>2232.5</c:v>
                </c:pt>
                <c:pt idx="70">
                  <c:v>2247.9</c:v>
                </c:pt>
                <c:pt idx="71">
                  <c:v>2278.9</c:v>
                </c:pt>
                <c:pt idx="72">
                  <c:v>2282.4</c:v>
                </c:pt>
                <c:pt idx="73">
                  <c:v>2277.6999999999998</c:v>
                </c:pt>
                <c:pt idx="74">
                  <c:v>2211.6</c:v>
                </c:pt>
                <c:pt idx="75">
                  <c:v>2245.1999999999998</c:v>
                </c:pt>
                <c:pt idx="76">
                  <c:v>2216.1999999999998</c:v>
                </c:pt>
                <c:pt idx="77">
                  <c:v>2265.4</c:v>
                </c:pt>
                <c:pt idx="78">
                  <c:v>2217.9</c:v>
                </c:pt>
                <c:pt idx="79">
                  <c:v>2189.8000000000002</c:v>
                </c:pt>
                <c:pt idx="80">
                  <c:v>2239.6</c:v>
                </c:pt>
                <c:pt idx="81">
                  <c:v>2262</c:v>
                </c:pt>
                <c:pt idx="82">
                  <c:v>2280.1999999999998</c:v>
                </c:pt>
                <c:pt idx="83">
                  <c:v>2255</c:v>
                </c:pt>
                <c:pt idx="84">
                  <c:v>2315</c:v>
                </c:pt>
                <c:pt idx="85">
                  <c:v>2332.9</c:v>
                </c:pt>
                <c:pt idx="86">
                  <c:v>2399.1999999999998</c:v>
                </c:pt>
                <c:pt idx="87">
                  <c:v>2422.3000000000002</c:v>
                </c:pt>
                <c:pt idx="88">
                  <c:v>2446.1</c:v>
                </c:pt>
                <c:pt idx="89">
                  <c:v>2433.1</c:v>
                </c:pt>
                <c:pt idx="90">
                  <c:v>2436.8000000000002</c:v>
                </c:pt>
                <c:pt idx="91">
                  <c:v>2462</c:v>
                </c:pt>
                <c:pt idx="92">
                  <c:v>2440</c:v>
                </c:pt>
                <c:pt idx="93">
                  <c:v>2412.27</c:v>
                </c:pt>
                <c:pt idx="94">
                  <c:v>2484.5</c:v>
                </c:pt>
                <c:pt idx="95">
                  <c:v>2294.58</c:v>
                </c:pt>
                <c:pt idx="96">
                  <c:v>2298.36</c:v>
                </c:pt>
                <c:pt idx="97">
                  <c:v>2369.4</c:v>
                </c:pt>
                <c:pt idx="98">
                  <c:v>2314.3000000000002</c:v>
                </c:pt>
                <c:pt idx="99">
                  <c:v>2419.8000000000002</c:v>
                </c:pt>
                <c:pt idx="100">
                  <c:v>2467</c:v>
                </c:pt>
                <c:pt idx="101">
                  <c:v>2481</c:v>
                </c:pt>
                <c:pt idx="102">
                  <c:v>2526.9</c:v>
                </c:pt>
                <c:pt idx="103">
                  <c:v>2537.4</c:v>
                </c:pt>
                <c:pt idx="104">
                  <c:v>2494.4</c:v>
                </c:pt>
                <c:pt idx="105">
                  <c:v>2492.8000000000002</c:v>
                </c:pt>
                <c:pt idx="106">
                  <c:v>2504.1999999999998</c:v>
                </c:pt>
                <c:pt idx="107">
                  <c:v>2545.8000000000002</c:v>
                </c:pt>
                <c:pt idx="108">
                  <c:v>2549.9</c:v>
                </c:pt>
                <c:pt idx="109">
                  <c:v>2548.1</c:v>
                </c:pt>
                <c:pt idx="110">
                  <c:v>2549.4</c:v>
                </c:pt>
                <c:pt idx="111">
                  <c:v>2557.6</c:v>
                </c:pt>
                <c:pt idx="112">
                  <c:v>2532.8000000000002</c:v>
                </c:pt>
                <c:pt idx="113">
                  <c:v>2517</c:v>
                </c:pt>
                <c:pt idx="114">
                  <c:v>2527.4</c:v>
                </c:pt>
                <c:pt idx="115">
                  <c:v>2550.9</c:v>
                </c:pt>
                <c:pt idx="116">
                  <c:v>2542.4</c:v>
                </c:pt>
                <c:pt idx="117">
                  <c:v>2524.1</c:v>
                </c:pt>
                <c:pt idx="118">
                  <c:v>2542.1999999999998</c:v>
                </c:pt>
                <c:pt idx="119">
                  <c:v>2573.5</c:v>
                </c:pt>
                <c:pt idx="120">
                  <c:v>2589.9</c:v>
                </c:pt>
                <c:pt idx="121">
                  <c:v>2592.6999999999998</c:v>
                </c:pt>
                <c:pt idx="122">
                  <c:v>2505.9</c:v>
                </c:pt>
                <c:pt idx="123">
                  <c:v>2509.5</c:v>
                </c:pt>
                <c:pt idx="124">
                  <c:v>2543.6999999999998</c:v>
                </c:pt>
                <c:pt idx="125">
                  <c:v>2576.4</c:v>
                </c:pt>
                <c:pt idx="126">
                  <c:v>2619.8000000000002</c:v>
                </c:pt>
                <c:pt idx="127">
                  <c:v>2676.4</c:v>
                </c:pt>
                <c:pt idx="128">
                  <c:v>2629.5</c:v>
                </c:pt>
                <c:pt idx="129">
                  <c:v>2524</c:v>
                </c:pt>
                <c:pt idx="130">
                  <c:v>2402</c:v>
                </c:pt>
                <c:pt idx="131">
                  <c:v>2402</c:v>
                </c:pt>
                <c:pt idx="132">
                  <c:v>2399.4</c:v>
                </c:pt>
                <c:pt idx="133">
                  <c:v>2383.4</c:v>
                </c:pt>
                <c:pt idx="134">
                  <c:v>2392</c:v>
                </c:pt>
                <c:pt idx="135">
                  <c:v>2398.8000000000002</c:v>
                </c:pt>
                <c:pt idx="136">
                  <c:v>2340.1999999999998</c:v>
                </c:pt>
                <c:pt idx="137">
                  <c:v>2311.6</c:v>
                </c:pt>
                <c:pt idx="138">
                  <c:v>2310.9</c:v>
                </c:pt>
                <c:pt idx="139">
                  <c:v>2281.4</c:v>
                </c:pt>
                <c:pt idx="140">
                  <c:v>2278.8000000000002</c:v>
                </c:pt>
                <c:pt idx="141">
                  <c:v>2288.6999999999998</c:v>
                </c:pt>
                <c:pt idx="142">
                  <c:v>2274.1999999999998</c:v>
                </c:pt>
                <c:pt idx="143">
                  <c:v>2284.1999999999998</c:v>
                </c:pt>
                <c:pt idx="144">
                  <c:v>2244.6999999999998</c:v>
                </c:pt>
                <c:pt idx="145">
                  <c:v>2275.1999999999998</c:v>
                </c:pt>
                <c:pt idx="146">
                  <c:v>2272</c:v>
                </c:pt>
                <c:pt idx="147">
                  <c:v>2302.9</c:v>
                </c:pt>
                <c:pt idx="148">
                  <c:v>2324.9</c:v>
                </c:pt>
                <c:pt idx="149">
                  <c:v>2377.1999999999998</c:v>
                </c:pt>
                <c:pt idx="150">
                  <c:v>2387.1</c:v>
                </c:pt>
                <c:pt idx="151">
                  <c:v>2388.4</c:v>
                </c:pt>
                <c:pt idx="152">
                  <c:v>2333.6</c:v>
                </c:pt>
                <c:pt idx="153">
                  <c:v>2281.6</c:v>
                </c:pt>
                <c:pt idx="154">
                  <c:v>2280.1</c:v>
                </c:pt>
                <c:pt idx="155">
                  <c:v>2288.1999999999998</c:v>
                </c:pt>
                <c:pt idx="156">
                  <c:v>2283.4</c:v>
                </c:pt>
                <c:pt idx="157">
                  <c:v>2178.1</c:v>
                </c:pt>
                <c:pt idx="158">
                  <c:v>2249.8000000000002</c:v>
                </c:pt>
                <c:pt idx="159">
                  <c:v>2300.3000000000002</c:v>
                </c:pt>
                <c:pt idx="160">
                  <c:v>2328.1999999999998</c:v>
                </c:pt>
                <c:pt idx="161">
                  <c:v>2363.6</c:v>
                </c:pt>
                <c:pt idx="162">
                  <c:v>2350.9</c:v>
                </c:pt>
                <c:pt idx="163">
                  <c:v>2430.6999999999998</c:v>
                </c:pt>
                <c:pt idx="164">
                  <c:v>2532.9</c:v>
                </c:pt>
                <c:pt idx="165">
                  <c:v>2547.9</c:v>
                </c:pt>
                <c:pt idx="166">
                  <c:v>2522.3000000000002</c:v>
                </c:pt>
                <c:pt idx="167">
                  <c:v>2550.1</c:v>
                </c:pt>
                <c:pt idx="168">
                  <c:v>2608.4</c:v>
                </c:pt>
                <c:pt idx="169">
                  <c:v>2614.5</c:v>
                </c:pt>
                <c:pt idx="170">
                  <c:v>2587.8000000000002</c:v>
                </c:pt>
                <c:pt idx="171">
                  <c:v>2619.5</c:v>
                </c:pt>
                <c:pt idx="172">
                  <c:v>2596.1</c:v>
                </c:pt>
                <c:pt idx="173">
                  <c:v>2616.6</c:v>
                </c:pt>
                <c:pt idx="174">
                  <c:v>2608.5</c:v>
                </c:pt>
                <c:pt idx="175">
                  <c:v>2598.1999999999998</c:v>
                </c:pt>
                <c:pt idx="176">
                  <c:v>2581.3000000000002</c:v>
                </c:pt>
                <c:pt idx="177">
                  <c:v>2558.6999999999998</c:v>
                </c:pt>
                <c:pt idx="178">
                  <c:v>2581</c:v>
                </c:pt>
                <c:pt idx="179">
                  <c:v>2583</c:v>
                </c:pt>
                <c:pt idx="180">
                  <c:v>2591.3000000000002</c:v>
                </c:pt>
                <c:pt idx="181">
                  <c:v>2576.1</c:v>
                </c:pt>
                <c:pt idx="182">
                  <c:v>2599.1</c:v>
                </c:pt>
                <c:pt idx="183">
                  <c:v>2611.1999999999998</c:v>
                </c:pt>
                <c:pt idx="184">
                  <c:v>2630.2</c:v>
                </c:pt>
                <c:pt idx="185">
                  <c:v>2621.8</c:v>
                </c:pt>
                <c:pt idx="186">
                  <c:v>2619.4</c:v>
                </c:pt>
                <c:pt idx="187">
                  <c:v>2646.3</c:v>
                </c:pt>
                <c:pt idx="188">
                  <c:v>2586.1999999999998</c:v>
                </c:pt>
                <c:pt idx="189">
                  <c:v>2527.1999999999998</c:v>
                </c:pt>
                <c:pt idx="190">
                  <c:v>2505.6</c:v>
                </c:pt>
                <c:pt idx="191">
                  <c:v>2472</c:v>
                </c:pt>
                <c:pt idx="192">
                  <c:v>2448.4</c:v>
                </c:pt>
                <c:pt idx="193">
                  <c:v>2420.6</c:v>
                </c:pt>
                <c:pt idx="194">
                  <c:v>2459.1</c:v>
                </c:pt>
                <c:pt idx="195">
                  <c:v>2488.5</c:v>
                </c:pt>
                <c:pt idx="196">
                  <c:v>2544</c:v>
                </c:pt>
                <c:pt idx="197">
                  <c:v>2507.9</c:v>
                </c:pt>
                <c:pt idx="198">
                  <c:v>2543.6999999999998</c:v>
                </c:pt>
                <c:pt idx="199">
                  <c:v>2581.1999999999998</c:v>
                </c:pt>
                <c:pt idx="200">
                  <c:v>2613.1</c:v>
                </c:pt>
                <c:pt idx="201">
                  <c:v>2582.1</c:v>
                </c:pt>
                <c:pt idx="202">
                  <c:v>2534.1999999999998</c:v>
                </c:pt>
                <c:pt idx="203">
                  <c:v>2504.4</c:v>
                </c:pt>
                <c:pt idx="204">
                  <c:v>2489.4</c:v>
                </c:pt>
                <c:pt idx="205">
                  <c:v>2470.9</c:v>
                </c:pt>
                <c:pt idx="206">
                  <c:v>2518.8000000000002</c:v>
                </c:pt>
                <c:pt idx="207">
                  <c:v>2519.9</c:v>
                </c:pt>
                <c:pt idx="208">
                  <c:v>2540.8000000000002</c:v>
                </c:pt>
                <c:pt idx="209">
                  <c:v>2515</c:v>
                </c:pt>
                <c:pt idx="210">
                  <c:v>2540.3000000000002</c:v>
                </c:pt>
                <c:pt idx="211">
                  <c:v>2547.6999999999998</c:v>
                </c:pt>
                <c:pt idx="212">
                  <c:v>2540</c:v>
                </c:pt>
                <c:pt idx="213">
                  <c:v>2487.6</c:v>
                </c:pt>
                <c:pt idx="214">
                  <c:v>2500.4</c:v>
                </c:pt>
                <c:pt idx="215">
                  <c:v>2501.6</c:v>
                </c:pt>
                <c:pt idx="216">
                  <c:v>2540.6</c:v>
                </c:pt>
                <c:pt idx="217">
                  <c:v>2555</c:v>
                </c:pt>
                <c:pt idx="218">
                  <c:v>2520</c:v>
                </c:pt>
                <c:pt idx="219">
                  <c:v>2461.9</c:v>
                </c:pt>
                <c:pt idx="220">
                  <c:v>2441.1999999999998</c:v>
                </c:pt>
                <c:pt idx="221">
                  <c:v>2425.3000000000002</c:v>
                </c:pt>
                <c:pt idx="222">
                  <c:v>2251</c:v>
                </c:pt>
                <c:pt idx="223">
                  <c:v>2285.3000000000002</c:v>
                </c:pt>
                <c:pt idx="224">
                  <c:v>2353.1</c:v>
                </c:pt>
                <c:pt idx="225">
                  <c:v>2354</c:v>
                </c:pt>
                <c:pt idx="226">
                  <c:v>2455.5</c:v>
                </c:pt>
                <c:pt idx="227">
                  <c:v>2294.1999999999998</c:v>
                </c:pt>
                <c:pt idx="228">
                  <c:v>2301.3000000000002</c:v>
                </c:pt>
                <c:pt idx="229">
                  <c:v>2330.6</c:v>
                </c:pt>
                <c:pt idx="230">
                  <c:v>2369.8000000000002</c:v>
                </c:pt>
                <c:pt idx="231">
                  <c:v>2354.3000000000002</c:v>
                </c:pt>
                <c:pt idx="232">
                  <c:v>2442.5</c:v>
                </c:pt>
                <c:pt idx="233">
                  <c:v>2453.6</c:v>
                </c:pt>
                <c:pt idx="234">
                  <c:v>2445.5</c:v>
                </c:pt>
                <c:pt idx="235">
                  <c:v>2442.6999999999998</c:v>
                </c:pt>
                <c:pt idx="236">
                  <c:v>2418.1</c:v>
                </c:pt>
                <c:pt idx="237">
                  <c:v>2415.6</c:v>
                </c:pt>
                <c:pt idx="238">
                  <c:v>2418.1999999999998</c:v>
                </c:pt>
                <c:pt idx="239">
                  <c:v>2321.4</c:v>
                </c:pt>
                <c:pt idx="240">
                  <c:v>2236.9</c:v>
                </c:pt>
                <c:pt idx="241">
                  <c:v>2285.6999999999998</c:v>
                </c:pt>
                <c:pt idx="242">
                  <c:v>2212.6999999999998</c:v>
                </c:pt>
                <c:pt idx="243">
                  <c:v>2334.65</c:v>
                </c:pt>
                <c:pt idx="244">
                  <c:v>2410.8000000000002</c:v>
                </c:pt>
                <c:pt idx="245">
                  <c:v>2369.4</c:v>
                </c:pt>
                <c:pt idx="246">
                  <c:v>2335.25</c:v>
                </c:pt>
                <c:pt idx="247">
                  <c:v>2315.8000000000002</c:v>
                </c:pt>
                <c:pt idx="248">
                  <c:v>2363.35</c:v>
                </c:pt>
                <c:pt idx="249">
                  <c:v>2312.6</c:v>
                </c:pt>
                <c:pt idx="250">
                  <c:v>2320.35</c:v>
                </c:pt>
                <c:pt idx="251">
                  <c:v>2368.6999999999998</c:v>
                </c:pt>
                <c:pt idx="252">
                  <c:v>2362.8000000000002</c:v>
                </c:pt>
                <c:pt idx="253">
                  <c:v>2339.3000000000002</c:v>
                </c:pt>
                <c:pt idx="254">
                  <c:v>2318.65</c:v>
                </c:pt>
                <c:pt idx="255">
                  <c:v>2308.5</c:v>
                </c:pt>
                <c:pt idx="256">
                  <c:v>2252.6999999999998</c:v>
                </c:pt>
                <c:pt idx="257">
                  <c:v>2221.1</c:v>
                </c:pt>
                <c:pt idx="258">
                  <c:v>2241.8000000000002</c:v>
                </c:pt>
                <c:pt idx="259">
                  <c:v>2250.6</c:v>
                </c:pt>
                <c:pt idx="260">
                  <c:v>2228.3000000000002</c:v>
                </c:pt>
                <c:pt idx="261">
                  <c:v>2247.5</c:v>
                </c:pt>
                <c:pt idx="262">
                  <c:v>2252.85</c:v>
                </c:pt>
                <c:pt idx="263">
                  <c:v>2245.85</c:v>
                </c:pt>
                <c:pt idx="264">
                  <c:v>2144.8000000000002</c:v>
                </c:pt>
                <c:pt idx="265">
                  <c:v>2117.1</c:v>
                </c:pt>
                <c:pt idx="266">
                  <c:v>2096</c:v>
                </c:pt>
                <c:pt idx="267">
                  <c:v>2110.9499999999998</c:v>
                </c:pt>
                <c:pt idx="268">
                  <c:v>2129.85</c:v>
                </c:pt>
                <c:pt idx="269">
                  <c:v>2115.15</c:v>
                </c:pt>
                <c:pt idx="270">
                  <c:v>2133.1</c:v>
                </c:pt>
                <c:pt idx="271">
                  <c:v>2179</c:v>
                </c:pt>
                <c:pt idx="272">
                  <c:v>2180.8000000000002</c:v>
                </c:pt>
                <c:pt idx="273">
                  <c:v>2220.3000000000002</c:v>
                </c:pt>
                <c:pt idx="274">
                  <c:v>2223.6999999999998</c:v>
                </c:pt>
                <c:pt idx="275">
                  <c:v>2152.65</c:v>
                </c:pt>
                <c:pt idx="276">
                  <c:v>2244.6999999999998</c:v>
                </c:pt>
                <c:pt idx="277">
                  <c:v>2353.4499999999998</c:v>
                </c:pt>
                <c:pt idx="278">
                  <c:v>2321.75</c:v>
                </c:pt>
                <c:pt idx="279">
                  <c:v>2290.8000000000002</c:v>
                </c:pt>
                <c:pt idx="280">
                  <c:v>2338.8000000000002</c:v>
                </c:pt>
                <c:pt idx="281">
                  <c:v>2312.4499999999998</c:v>
                </c:pt>
                <c:pt idx="282">
                  <c:v>2324.6</c:v>
                </c:pt>
                <c:pt idx="283">
                  <c:v>2301.5</c:v>
                </c:pt>
                <c:pt idx="284">
                  <c:v>2261.85</c:v>
                </c:pt>
                <c:pt idx="285">
                  <c:v>2270</c:v>
                </c:pt>
                <c:pt idx="286">
                  <c:v>2287.8000000000002</c:v>
                </c:pt>
                <c:pt idx="287">
                  <c:v>2252.6</c:v>
                </c:pt>
                <c:pt idx="288">
                  <c:v>2318.6</c:v>
                </c:pt>
                <c:pt idx="289">
                  <c:v>2286.0500000000002</c:v>
                </c:pt>
                <c:pt idx="290">
                  <c:v>2259.6999999999998</c:v>
                </c:pt>
                <c:pt idx="291">
                  <c:v>2315.1</c:v>
                </c:pt>
                <c:pt idx="292">
                  <c:v>2385</c:v>
                </c:pt>
                <c:pt idx="293">
                  <c:v>2376.5500000000002</c:v>
                </c:pt>
                <c:pt idx="294">
                  <c:v>2384.3000000000002</c:v>
                </c:pt>
                <c:pt idx="295">
                  <c:v>2442.8000000000002</c:v>
                </c:pt>
                <c:pt idx="296">
                  <c:v>2399.8000000000002</c:v>
                </c:pt>
                <c:pt idx="297">
                  <c:v>2427.85</c:v>
                </c:pt>
                <c:pt idx="298">
                  <c:v>2388.15</c:v>
                </c:pt>
                <c:pt idx="299">
                  <c:v>2380.5500000000002</c:v>
                </c:pt>
                <c:pt idx="300">
                  <c:v>2225.15</c:v>
                </c:pt>
                <c:pt idx="301">
                  <c:v>2374.4</c:v>
                </c:pt>
                <c:pt idx="302">
                  <c:v>2477.9</c:v>
                </c:pt>
                <c:pt idx="303">
                  <c:v>2515.25</c:v>
                </c:pt>
                <c:pt idx="304">
                  <c:v>2520.5500000000002</c:v>
                </c:pt>
                <c:pt idx="305">
                  <c:v>2474.4499999999998</c:v>
                </c:pt>
                <c:pt idx="306">
                  <c:v>2564.6</c:v>
                </c:pt>
                <c:pt idx="307">
                  <c:v>2597.6999999999998</c:v>
                </c:pt>
                <c:pt idx="308">
                  <c:v>2554.85</c:v>
                </c:pt>
                <c:pt idx="309">
                  <c:v>2528.65</c:v>
                </c:pt>
                <c:pt idx="310">
                  <c:v>2592.35</c:v>
                </c:pt>
                <c:pt idx="311">
                  <c:v>2409.9499999999998</c:v>
                </c:pt>
                <c:pt idx="312">
                  <c:v>2400.25</c:v>
                </c:pt>
                <c:pt idx="313">
                  <c:v>2372.4499999999998</c:v>
                </c:pt>
                <c:pt idx="314">
                  <c:v>2338.9499999999998</c:v>
                </c:pt>
                <c:pt idx="315">
                  <c:v>2344.9499999999998</c:v>
                </c:pt>
                <c:pt idx="316">
                  <c:v>2419.35</c:v>
                </c:pt>
                <c:pt idx="317">
                  <c:v>2457.4</c:v>
                </c:pt>
                <c:pt idx="318">
                  <c:v>2487.6</c:v>
                </c:pt>
                <c:pt idx="319">
                  <c:v>2512.4</c:v>
                </c:pt>
                <c:pt idx="320">
                  <c:v>2527.5500000000002</c:v>
                </c:pt>
                <c:pt idx="321">
                  <c:v>2504.1</c:v>
                </c:pt>
                <c:pt idx="322">
                  <c:v>2457.25</c:v>
                </c:pt>
                <c:pt idx="323">
                  <c:v>2467.1999999999998</c:v>
                </c:pt>
                <c:pt idx="324">
                  <c:v>2495.85</c:v>
                </c:pt>
                <c:pt idx="325">
                  <c:v>2506.4</c:v>
                </c:pt>
                <c:pt idx="326">
                  <c:v>2522.5500000000002</c:v>
                </c:pt>
                <c:pt idx="327">
                  <c:v>2494.75</c:v>
                </c:pt>
                <c:pt idx="328">
                  <c:v>2514.1999999999998</c:v>
                </c:pt>
                <c:pt idx="329">
                  <c:v>2457.0500000000002</c:v>
                </c:pt>
                <c:pt idx="330">
                  <c:v>2463.15</c:v>
                </c:pt>
                <c:pt idx="331">
                  <c:v>2437.1</c:v>
                </c:pt>
                <c:pt idx="332">
                  <c:v>2397.8000000000002</c:v>
                </c:pt>
                <c:pt idx="333">
                  <c:v>2150.5</c:v>
                </c:pt>
                <c:pt idx="334">
                  <c:v>2257.5</c:v>
                </c:pt>
                <c:pt idx="335">
                  <c:v>2228</c:v>
                </c:pt>
                <c:pt idx="336">
                  <c:v>2183.65</c:v>
                </c:pt>
                <c:pt idx="337">
                  <c:v>2821.5</c:v>
                </c:pt>
                <c:pt idx="338">
                  <c:v>2818.7</c:v>
                </c:pt>
                <c:pt idx="339">
                  <c:v>2826.8</c:v>
                </c:pt>
                <c:pt idx="340">
                  <c:v>2816.7</c:v>
                </c:pt>
                <c:pt idx="341">
                  <c:v>2870</c:v>
                </c:pt>
                <c:pt idx="342">
                  <c:v>2903.65</c:v>
                </c:pt>
                <c:pt idx="343">
                  <c:v>2929.1</c:v>
                </c:pt>
                <c:pt idx="344">
                  <c:v>2970.1</c:v>
                </c:pt>
                <c:pt idx="345">
                  <c:v>3046.25</c:v>
                </c:pt>
                <c:pt idx="346">
                  <c:v>2915.55</c:v>
                </c:pt>
                <c:pt idx="347">
                  <c:v>2897.4</c:v>
                </c:pt>
                <c:pt idx="348">
                  <c:v>2949.5</c:v>
                </c:pt>
                <c:pt idx="349">
                  <c:v>2947.25</c:v>
                </c:pt>
                <c:pt idx="350">
                  <c:v>2969.3</c:v>
                </c:pt>
                <c:pt idx="351">
                  <c:v>2848.6</c:v>
                </c:pt>
                <c:pt idx="352">
                  <c:v>2798.65</c:v>
                </c:pt>
                <c:pt idx="353">
                  <c:v>2693.45</c:v>
                </c:pt>
                <c:pt idx="354">
                  <c:v>2830.2</c:v>
                </c:pt>
                <c:pt idx="355">
                  <c:v>2835.55</c:v>
                </c:pt>
                <c:pt idx="356">
                  <c:v>2823.8</c:v>
                </c:pt>
                <c:pt idx="357">
                  <c:v>2937.65</c:v>
                </c:pt>
                <c:pt idx="358">
                  <c:v>3002</c:v>
                </c:pt>
                <c:pt idx="359">
                  <c:v>3013.75</c:v>
                </c:pt>
                <c:pt idx="360">
                  <c:v>3085.9</c:v>
                </c:pt>
                <c:pt idx="361">
                  <c:v>3104.7</c:v>
                </c:pt>
                <c:pt idx="362">
                  <c:v>3101.1</c:v>
                </c:pt>
                <c:pt idx="363">
                  <c:v>3137.2</c:v>
                </c:pt>
                <c:pt idx="364">
                  <c:v>3174.2</c:v>
                </c:pt>
                <c:pt idx="365">
                  <c:v>3153.75</c:v>
                </c:pt>
                <c:pt idx="366">
                  <c:v>3160.7</c:v>
                </c:pt>
                <c:pt idx="367">
                  <c:v>3018</c:v>
                </c:pt>
                <c:pt idx="368">
                  <c:v>3110.65</c:v>
                </c:pt>
                <c:pt idx="369">
                  <c:v>3116</c:v>
                </c:pt>
                <c:pt idx="370">
                  <c:v>3186.1</c:v>
                </c:pt>
                <c:pt idx="371">
                  <c:v>3135.85</c:v>
                </c:pt>
                <c:pt idx="372">
                  <c:v>3130.3</c:v>
                </c:pt>
                <c:pt idx="373">
                  <c:v>3122.65</c:v>
                </c:pt>
                <c:pt idx="374">
                  <c:v>3105.1</c:v>
                </c:pt>
                <c:pt idx="375">
                  <c:v>3093.9</c:v>
                </c:pt>
                <c:pt idx="376">
                  <c:v>3043.95</c:v>
                </c:pt>
                <c:pt idx="377">
                  <c:v>3008.5</c:v>
                </c:pt>
                <c:pt idx="378">
                  <c:v>2943.15</c:v>
                </c:pt>
                <c:pt idx="379">
                  <c:v>2956.3</c:v>
                </c:pt>
                <c:pt idx="380">
                  <c:v>2975.2</c:v>
                </c:pt>
                <c:pt idx="381">
                  <c:v>2984.9</c:v>
                </c:pt>
                <c:pt idx="382">
                  <c:v>2968.35</c:v>
                </c:pt>
                <c:pt idx="383">
                  <c:v>2991</c:v>
                </c:pt>
                <c:pt idx="384">
                  <c:v>2937.85</c:v>
                </c:pt>
                <c:pt idx="385">
                  <c:v>2986.4</c:v>
                </c:pt>
                <c:pt idx="386">
                  <c:v>2964.15</c:v>
                </c:pt>
                <c:pt idx="387">
                  <c:v>2975.45</c:v>
                </c:pt>
                <c:pt idx="388">
                  <c:v>3015.35</c:v>
                </c:pt>
                <c:pt idx="389">
                  <c:v>3012.35</c:v>
                </c:pt>
                <c:pt idx="390">
                  <c:v>3036.1</c:v>
                </c:pt>
                <c:pt idx="391">
                  <c:v>3042.15</c:v>
                </c:pt>
                <c:pt idx="392">
                  <c:v>3019.35</c:v>
                </c:pt>
                <c:pt idx="393">
                  <c:v>3020.15</c:v>
                </c:pt>
                <c:pt idx="394">
                  <c:v>3028</c:v>
                </c:pt>
                <c:pt idx="395">
                  <c:v>3067.1</c:v>
                </c:pt>
                <c:pt idx="396">
                  <c:v>3069</c:v>
                </c:pt>
                <c:pt idx="397">
                  <c:v>3076.35</c:v>
                </c:pt>
                <c:pt idx="398">
                  <c:v>3099.05</c:v>
                </c:pt>
                <c:pt idx="399">
                  <c:v>3115.7</c:v>
                </c:pt>
                <c:pt idx="400">
                  <c:v>3070.65</c:v>
                </c:pt>
                <c:pt idx="401">
                  <c:v>3102.55</c:v>
                </c:pt>
                <c:pt idx="402">
                  <c:v>3108.8</c:v>
                </c:pt>
                <c:pt idx="403">
                  <c:v>3040.1</c:v>
                </c:pt>
                <c:pt idx="404">
                  <c:v>3092.2</c:v>
                </c:pt>
                <c:pt idx="405">
                  <c:v>3151.75</c:v>
                </c:pt>
                <c:pt idx="406">
                  <c:v>3187.55</c:v>
                </c:pt>
                <c:pt idx="407">
                  <c:v>3167.55</c:v>
                </c:pt>
                <c:pt idx="408">
                  <c:v>3185.95</c:v>
                </c:pt>
                <c:pt idx="409">
                  <c:v>3072.7</c:v>
                </c:pt>
                <c:pt idx="410">
                  <c:v>3038.2</c:v>
                </c:pt>
                <c:pt idx="411">
                  <c:v>3160.9</c:v>
                </c:pt>
                <c:pt idx="412">
                  <c:v>3217.25</c:v>
                </c:pt>
                <c:pt idx="413">
                  <c:v>3169.4</c:v>
                </c:pt>
                <c:pt idx="414">
                  <c:v>3128.75</c:v>
                </c:pt>
                <c:pt idx="415">
                  <c:v>3089.35</c:v>
                </c:pt>
                <c:pt idx="416">
                  <c:v>3080.5</c:v>
                </c:pt>
                <c:pt idx="417">
                  <c:v>2973.5</c:v>
                </c:pt>
                <c:pt idx="418">
                  <c:v>2970.7</c:v>
                </c:pt>
                <c:pt idx="419">
                  <c:v>2995.35</c:v>
                </c:pt>
                <c:pt idx="420">
                  <c:v>3000.85</c:v>
                </c:pt>
                <c:pt idx="421">
                  <c:v>3005.7</c:v>
                </c:pt>
                <c:pt idx="422">
                  <c:v>3092.2</c:v>
                </c:pt>
                <c:pt idx="423">
                  <c:v>3109.3</c:v>
                </c:pt>
                <c:pt idx="424">
                  <c:v>3090.4</c:v>
                </c:pt>
                <c:pt idx="425">
                  <c:v>3065.45</c:v>
                </c:pt>
                <c:pt idx="426">
                  <c:v>3078.3</c:v>
                </c:pt>
                <c:pt idx="427">
                  <c:v>3096</c:v>
                </c:pt>
                <c:pt idx="428">
                  <c:v>3110.75</c:v>
                </c:pt>
                <c:pt idx="429">
                  <c:v>3113.6</c:v>
                </c:pt>
                <c:pt idx="430">
                  <c:v>3147.9</c:v>
                </c:pt>
                <c:pt idx="431">
                  <c:v>3144.25</c:v>
                </c:pt>
                <c:pt idx="432">
                  <c:v>3190.95</c:v>
                </c:pt>
                <c:pt idx="433">
                  <c:v>3153.2</c:v>
                </c:pt>
                <c:pt idx="434">
                  <c:v>3183.8</c:v>
                </c:pt>
                <c:pt idx="435">
                  <c:v>3177.15</c:v>
                </c:pt>
                <c:pt idx="436">
                  <c:v>3175.15</c:v>
                </c:pt>
                <c:pt idx="437">
                  <c:v>3170.5</c:v>
                </c:pt>
                <c:pt idx="438">
                  <c:v>3171.1</c:v>
                </c:pt>
                <c:pt idx="439">
                  <c:v>3194.6</c:v>
                </c:pt>
                <c:pt idx="440">
                  <c:v>3189.3</c:v>
                </c:pt>
                <c:pt idx="441">
                  <c:v>3259.45</c:v>
                </c:pt>
                <c:pt idx="442">
                  <c:v>3261.9</c:v>
                </c:pt>
                <c:pt idx="443">
                  <c:v>3309.05</c:v>
                </c:pt>
                <c:pt idx="444">
                  <c:v>3261.75</c:v>
                </c:pt>
                <c:pt idx="445">
                  <c:v>3224.8</c:v>
                </c:pt>
                <c:pt idx="446">
                  <c:v>3219.05</c:v>
                </c:pt>
                <c:pt idx="447">
                  <c:v>3221.25</c:v>
                </c:pt>
                <c:pt idx="448">
                  <c:v>3220.1</c:v>
                </c:pt>
                <c:pt idx="449">
                  <c:v>3219.55</c:v>
                </c:pt>
                <c:pt idx="450">
                  <c:v>3185.65</c:v>
                </c:pt>
                <c:pt idx="451">
                  <c:v>3115.35</c:v>
                </c:pt>
                <c:pt idx="452">
                  <c:v>2941.25</c:v>
                </c:pt>
                <c:pt idx="453">
                  <c:v>3645.25</c:v>
                </c:pt>
                <c:pt idx="454">
                  <c:v>3411.35</c:v>
                </c:pt>
                <c:pt idx="455">
                  <c:v>3194.25</c:v>
                </c:pt>
                <c:pt idx="456">
                  <c:v>3258.8</c:v>
                </c:pt>
                <c:pt idx="457">
                  <c:v>3244.05</c:v>
                </c:pt>
                <c:pt idx="458">
                  <c:v>3289.05</c:v>
                </c:pt>
                <c:pt idx="459">
                  <c:v>3384.95</c:v>
                </c:pt>
                <c:pt idx="460">
                  <c:v>3387.3</c:v>
                </c:pt>
                <c:pt idx="461">
                  <c:v>3140.95</c:v>
                </c:pt>
                <c:pt idx="462">
                  <c:v>3117.5</c:v>
                </c:pt>
                <c:pt idx="463">
                  <c:v>3059.75</c:v>
                </c:pt>
                <c:pt idx="464">
                  <c:v>3060.5</c:v>
                </c:pt>
                <c:pt idx="465">
                  <c:v>3041.65</c:v>
                </c:pt>
                <c:pt idx="466">
                  <c:v>3049.75</c:v>
                </c:pt>
                <c:pt idx="467">
                  <c:v>3037.55</c:v>
                </c:pt>
                <c:pt idx="468">
                  <c:v>2879.6</c:v>
                </c:pt>
                <c:pt idx="469">
                  <c:v>2797.25</c:v>
                </c:pt>
                <c:pt idx="470">
                  <c:v>2766.65</c:v>
                </c:pt>
                <c:pt idx="471">
                  <c:v>2860.55</c:v>
                </c:pt>
                <c:pt idx="472">
                  <c:v>2835.95</c:v>
                </c:pt>
                <c:pt idx="473">
                  <c:v>2874.65</c:v>
                </c:pt>
                <c:pt idx="474">
                  <c:v>2993.25</c:v>
                </c:pt>
                <c:pt idx="475">
                  <c:v>3039.6</c:v>
                </c:pt>
                <c:pt idx="476">
                  <c:v>3054.7</c:v>
                </c:pt>
                <c:pt idx="477">
                  <c:v>3081.2</c:v>
                </c:pt>
                <c:pt idx="478">
                  <c:v>3080.4</c:v>
                </c:pt>
                <c:pt idx="479">
                  <c:v>3115.25</c:v>
                </c:pt>
                <c:pt idx="480">
                  <c:v>3043.55</c:v>
                </c:pt>
                <c:pt idx="481">
                  <c:v>3065.1</c:v>
                </c:pt>
                <c:pt idx="482">
                  <c:v>3063.35</c:v>
                </c:pt>
                <c:pt idx="483">
                  <c:v>3026.95</c:v>
                </c:pt>
                <c:pt idx="484">
                  <c:v>3019.3</c:v>
                </c:pt>
                <c:pt idx="485">
                  <c:v>3106.4</c:v>
                </c:pt>
                <c:pt idx="486">
                  <c:v>3147.45</c:v>
                </c:pt>
                <c:pt idx="487">
                  <c:v>3209.9</c:v>
                </c:pt>
                <c:pt idx="488">
                  <c:v>3242</c:v>
                </c:pt>
                <c:pt idx="489">
                  <c:v>3198.45</c:v>
                </c:pt>
                <c:pt idx="490">
                  <c:v>3224.55</c:v>
                </c:pt>
                <c:pt idx="491">
                  <c:v>3224.8</c:v>
                </c:pt>
                <c:pt idx="492">
                  <c:v>3210.8</c:v>
                </c:pt>
                <c:pt idx="493">
                  <c:v>3233.45</c:v>
                </c:pt>
                <c:pt idx="494">
                  <c:v>3268.75</c:v>
                </c:pt>
                <c:pt idx="495">
                  <c:v>3252.1</c:v>
                </c:pt>
                <c:pt idx="496">
                  <c:v>3197.1</c:v>
                </c:pt>
                <c:pt idx="497">
                  <c:v>3122.1</c:v>
                </c:pt>
                <c:pt idx="498">
                  <c:v>3109.95</c:v>
                </c:pt>
                <c:pt idx="499">
                  <c:v>3107.7</c:v>
                </c:pt>
                <c:pt idx="500">
                  <c:v>3066.5</c:v>
                </c:pt>
                <c:pt idx="501">
                  <c:v>3051.45</c:v>
                </c:pt>
                <c:pt idx="502">
                  <c:v>3052.7</c:v>
                </c:pt>
                <c:pt idx="503">
                  <c:v>3111.75</c:v>
                </c:pt>
                <c:pt idx="504">
                  <c:v>3132.2</c:v>
                </c:pt>
                <c:pt idx="505">
                  <c:v>3087.45</c:v>
                </c:pt>
                <c:pt idx="506">
                  <c:v>2906.2</c:v>
                </c:pt>
                <c:pt idx="507">
                  <c:v>3122.5</c:v>
                </c:pt>
                <c:pt idx="508">
                  <c:v>3207.35</c:v>
                </c:pt>
                <c:pt idx="509">
                  <c:v>3226.55</c:v>
                </c:pt>
                <c:pt idx="510">
                  <c:v>3233.95</c:v>
                </c:pt>
                <c:pt idx="511">
                  <c:v>3310.2</c:v>
                </c:pt>
                <c:pt idx="512">
                  <c:v>3317.15</c:v>
                </c:pt>
                <c:pt idx="513">
                  <c:v>3332.5</c:v>
                </c:pt>
                <c:pt idx="514">
                  <c:v>3318.75</c:v>
                </c:pt>
                <c:pt idx="515">
                  <c:v>3285.4</c:v>
                </c:pt>
                <c:pt idx="516">
                  <c:v>3219</c:v>
                </c:pt>
                <c:pt idx="517">
                  <c:v>3302.3</c:v>
                </c:pt>
                <c:pt idx="518">
                  <c:v>3327.75</c:v>
                </c:pt>
                <c:pt idx="519">
                  <c:v>3273.3</c:v>
                </c:pt>
                <c:pt idx="520">
                  <c:v>3263.05</c:v>
                </c:pt>
                <c:pt idx="521">
                  <c:v>3223.2</c:v>
                </c:pt>
                <c:pt idx="522">
                  <c:v>3228.6</c:v>
                </c:pt>
                <c:pt idx="523">
                  <c:v>3258.8</c:v>
                </c:pt>
                <c:pt idx="524">
                  <c:v>3223.6</c:v>
                </c:pt>
                <c:pt idx="525">
                  <c:v>3193.8</c:v>
                </c:pt>
                <c:pt idx="526">
                  <c:v>3207.2</c:v>
                </c:pt>
                <c:pt idx="527">
                  <c:v>3178.45</c:v>
                </c:pt>
                <c:pt idx="528">
                  <c:v>3169.75</c:v>
                </c:pt>
                <c:pt idx="529">
                  <c:v>3215.2</c:v>
                </c:pt>
                <c:pt idx="530">
                  <c:v>3168.6</c:v>
                </c:pt>
                <c:pt idx="531">
                  <c:v>3229.85</c:v>
                </c:pt>
                <c:pt idx="532">
                  <c:v>3203.75</c:v>
                </c:pt>
                <c:pt idx="533">
                  <c:v>3173.45</c:v>
                </c:pt>
                <c:pt idx="534">
                  <c:v>3157.45</c:v>
                </c:pt>
                <c:pt idx="535">
                  <c:v>3153.5</c:v>
                </c:pt>
                <c:pt idx="536">
                  <c:v>3142</c:v>
                </c:pt>
                <c:pt idx="537">
                  <c:v>3091.1</c:v>
                </c:pt>
                <c:pt idx="538">
                  <c:v>3064.65</c:v>
                </c:pt>
                <c:pt idx="539">
                  <c:v>2893.6</c:v>
                </c:pt>
                <c:pt idx="540">
                  <c:v>2903.45</c:v>
                </c:pt>
                <c:pt idx="541">
                  <c:v>2896.55</c:v>
                </c:pt>
                <c:pt idx="542">
                  <c:v>2987.9</c:v>
                </c:pt>
                <c:pt idx="543">
                  <c:v>2915.65</c:v>
                </c:pt>
                <c:pt idx="544">
                  <c:v>2918.9</c:v>
                </c:pt>
                <c:pt idx="545">
                  <c:v>2971.05</c:v>
                </c:pt>
                <c:pt idx="546">
                  <c:v>3056.5</c:v>
                </c:pt>
                <c:pt idx="547">
                  <c:v>3089.5</c:v>
                </c:pt>
                <c:pt idx="548">
                  <c:v>3104.1</c:v>
                </c:pt>
                <c:pt idx="549">
                  <c:v>3080.9</c:v>
                </c:pt>
                <c:pt idx="550">
                  <c:v>3098.2</c:v>
                </c:pt>
                <c:pt idx="551">
                  <c:v>3014.6</c:v>
                </c:pt>
                <c:pt idx="552">
                  <c:v>2963.5</c:v>
                </c:pt>
                <c:pt idx="553">
                  <c:v>3006.6</c:v>
                </c:pt>
                <c:pt idx="554">
                  <c:v>2998.3</c:v>
                </c:pt>
                <c:pt idx="555">
                  <c:v>3003</c:v>
                </c:pt>
                <c:pt idx="556">
                  <c:v>2932.4</c:v>
                </c:pt>
                <c:pt idx="557">
                  <c:v>2917.2</c:v>
                </c:pt>
                <c:pt idx="558">
                  <c:v>2848.95</c:v>
                </c:pt>
                <c:pt idx="559">
                  <c:v>2809.9</c:v>
                </c:pt>
                <c:pt idx="560">
                  <c:v>2843.35</c:v>
                </c:pt>
                <c:pt idx="561">
                  <c:v>2865.45</c:v>
                </c:pt>
                <c:pt idx="562">
                  <c:v>2808.35</c:v>
                </c:pt>
                <c:pt idx="563">
                  <c:v>2799.75</c:v>
                </c:pt>
                <c:pt idx="564">
                  <c:v>2783.85</c:v>
                </c:pt>
                <c:pt idx="565">
                  <c:v>2941.25</c:v>
                </c:pt>
                <c:pt idx="566">
                  <c:v>2980.6</c:v>
                </c:pt>
                <c:pt idx="567">
                  <c:v>2991.8</c:v>
                </c:pt>
                <c:pt idx="568">
                  <c:v>2894.05</c:v>
                </c:pt>
                <c:pt idx="569">
                  <c:v>2875.05</c:v>
                </c:pt>
                <c:pt idx="570">
                  <c:v>2857.65</c:v>
                </c:pt>
                <c:pt idx="571">
                  <c:v>2855.8</c:v>
                </c:pt>
                <c:pt idx="572">
                  <c:v>2822.15</c:v>
                </c:pt>
                <c:pt idx="573">
                  <c:v>2887.15</c:v>
                </c:pt>
                <c:pt idx="574">
                  <c:v>2883.95</c:v>
                </c:pt>
                <c:pt idx="575">
                  <c:v>2959.35</c:v>
                </c:pt>
                <c:pt idx="576">
                  <c:v>2531.1999999999998</c:v>
                </c:pt>
                <c:pt idx="577">
                  <c:v>2362.6999999999998</c:v>
                </c:pt>
                <c:pt idx="578">
                  <c:v>2358.5500000000002</c:v>
                </c:pt>
                <c:pt idx="579">
                  <c:v>2396.6</c:v>
                </c:pt>
                <c:pt idx="580">
                  <c:v>2423.5</c:v>
                </c:pt>
                <c:pt idx="581">
                  <c:v>2225.4499999999998</c:v>
                </c:pt>
                <c:pt idx="582">
                  <c:v>2175.25</c:v>
                </c:pt>
                <c:pt idx="583">
                  <c:v>2172.65</c:v>
                </c:pt>
                <c:pt idx="584">
                  <c:v>2196.65</c:v>
                </c:pt>
                <c:pt idx="585">
                  <c:v>2149.85</c:v>
                </c:pt>
                <c:pt idx="586">
                  <c:v>2208.8000000000002</c:v>
                </c:pt>
                <c:pt idx="587">
                  <c:v>2205.9</c:v>
                </c:pt>
                <c:pt idx="588">
                  <c:v>2225.4</c:v>
                </c:pt>
                <c:pt idx="589">
                  <c:v>2213.65</c:v>
                </c:pt>
                <c:pt idx="590">
                  <c:v>2211.35</c:v>
                </c:pt>
                <c:pt idx="591">
                  <c:v>2205.1</c:v>
                </c:pt>
                <c:pt idx="592">
                  <c:v>2214.65</c:v>
                </c:pt>
                <c:pt idx="593">
                  <c:v>2259.9499999999998</c:v>
                </c:pt>
                <c:pt idx="594">
                  <c:v>2233.35</c:v>
                </c:pt>
                <c:pt idx="595">
                  <c:v>2246</c:v>
                </c:pt>
                <c:pt idx="596">
                  <c:v>2229.85</c:v>
                </c:pt>
                <c:pt idx="597">
                  <c:v>2215.3000000000002</c:v>
                </c:pt>
                <c:pt idx="598">
                  <c:v>2217.3000000000002</c:v>
                </c:pt>
                <c:pt idx="599">
                  <c:v>2294.65</c:v>
                </c:pt>
                <c:pt idx="600">
                  <c:v>2299.1</c:v>
                </c:pt>
                <c:pt idx="601">
                  <c:v>2261.6999999999998</c:v>
                </c:pt>
                <c:pt idx="602">
                  <c:v>2203.1999999999998</c:v>
                </c:pt>
                <c:pt idx="603">
                  <c:v>2257</c:v>
                </c:pt>
                <c:pt idx="604">
                  <c:v>2308.65</c:v>
                </c:pt>
                <c:pt idx="605">
                  <c:v>2393.75</c:v>
                </c:pt>
                <c:pt idx="606">
                  <c:v>2402.1999999999998</c:v>
                </c:pt>
                <c:pt idx="607">
                  <c:v>2406.35</c:v>
                </c:pt>
                <c:pt idx="608">
                  <c:v>2428.4</c:v>
                </c:pt>
                <c:pt idx="609">
                  <c:v>2429.35</c:v>
                </c:pt>
                <c:pt idx="610">
                  <c:v>2454.5500000000002</c:v>
                </c:pt>
                <c:pt idx="611">
                  <c:v>2506.35</c:v>
                </c:pt>
                <c:pt idx="612">
                  <c:v>2488.6</c:v>
                </c:pt>
                <c:pt idx="613">
                  <c:v>2498.3000000000002</c:v>
                </c:pt>
                <c:pt idx="614">
                  <c:v>2442.6</c:v>
                </c:pt>
                <c:pt idx="615">
                  <c:v>2478.1</c:v>
                </c:pt>
                <c:pt idx="616">
                  <c:v>2466.35</c:v>
                </c:pt>
                <c:pt idx="617">
                  <c:v>2464.9499999999998</c:v>
                </c:pt>
                <c:pt idx="618">
                  <c:v>2387.25</c:v>
                </c:pt>
                <c:pt idx="619">
                  <c:v>2413.9</c:v>
                </c:pt>
                <c:pt idx="620">
                  <c:v>2475.25</c:v>
                </c:pt>
                <c:pt idx="621">
                  <c:v>2483.3000000000002</c:v>
                </c:pt>
                <c:pt idx="622">
                  <c:v>2457.9499999999998</c:v>
                </c:pt>
                <c:pt idx="623">
                  <c:v>2482.1</c:v>
                </c:pt>
                <c:pt idx="624">
                  <c:v>2464.9</c:v>
                </c:pt>
                <c:pt idx="625">
                  <c:v>2479.25</c:v>
                </c:pt>
                <c:pt idx="626">
                  <c:v>2470.3000000000002</c:v>
                </c:pt>
                <c:pt idx="627">
                  <c:v>2502.4499999999998</c:v>
                </c:pt>
                <c:pt idx="628">
                  <c:v>2540.0500000000002</c:v>
                </c:pt>
                <c:pt idx="629">
                  <c:v>2519.8000000000002</c:v>
                </c:pt>
                <c:pt idx="630">
                  <c:v>2518.9</c:v>
                </c:pt>
                <c:pt idx="631">
                  <c:v>2535.6999999999998</c:v>
                </c:pt>
                <c:pt idx="632">
                  <c:v>2614.9499999999998</c:v>
                </c:pt>
                <c:pt idx="633">
                  <c:v>2519.3000000000002</c:v>
                </c:pt>
                <c:pt idx="634">
                  <c:v>2509.5</c:v>
                </c:pt>
                <c:pt idx="635">
                  <c:v>2496.5</c:v>
                </c:pt>
                <c:pt idx="636">
                  <c:v>2494.0500000000002</c:v>
                </c:pt>
                <c:pt idx="637">
                  <c:v>2470.6</c:v>
                </c:pt>
                <c:pt idx="638">
                  <c:v>2450.0500000000002</c:v>
                </c:pt>
                <c:pt idx="639">
                  <c:v>2419.25</c:v>
                </c:pt>
                <c:pt idx="640">
                  <c:v>2513.1</c:v>
                </c:pt>
                <c:pt idx="641">
                  <c:v>2506.4499999999998</c:v>
                </c:pt>
                <c:pt idx="642">
                  <c:v>2472.4499999999998</c:v>
                </c:pt>
                <c:pt idx="643">
                  <c:v>2495.75</c:v>
                </c:pt>
                <c:pt idx="644">
                  <c:v>2539.5500000000002</c:v>
                </c:pt>
                <c:pt idx="645">
                  <c:v>2530.3000000000002</c:v>
                </c:pt>
                <c:pt idx="646">
                  <c:v>2698.05</c:v>
                </c:pt>
                <c:pt idx="647">
                  <c:v>2639.75</c:v>
                </c:pt>
                <c:pt idx="648">
                  <c:v>2577.4</c:v>
                </c:pt>
                <c:pt idx="649">
                  <c:v>2479.6999999999998</c:v>
                </c:pt>
                <c:pt idx="650">
                  <c:v>2445.1</c:v>
                </c:pt>
                <c:pt idx="651">
                  <c:v>2456</c:v>
                </c:pt>
                <c:pt idx="652">
                  <c:v>2539.5</c:v>
                </c:pt>
                <c:pt idx="653">
                  <c:v>2552.4</c:v>
                </c:pt>
                <c:pt idx="654">
                  <c:v>2507.1</c:v>
                </c:pt>
                <c:pt idx="655">
                  <c:v>2474.5500000000002</c:v>
                </c:pt>
                <c:pt idx="656">
                  <c:v>2550.5</c:v>
                </c:pt>
                <c:pt idx="657">
                  <c:v>2541.8000000000002</c:v>
                </c:pt>
                <c:pt idx="658">
                  <c:v>2532.6</c:v>
                </c:pt>
                <c:pt idx="659">
                  <c:v>2473.5500000000002</c:v>
                </c:pt>
                <c:pt idx="660">
                  <c:v>2481.1</c:v>
                </c:pt>
                <c:pt idx="661">
                  <c:v>2492.1999999999998</c:v>
                </c:pt>
                <c:pt idx="662">
                  <c:v>2463.1999999999998</c:v>
                </c:pt>
                <c:pt idx="663">
                  <c:v>2428.4</c:v>
                </c:pt>
                <c:pt idx="664">
                  <c:v>2470.75</c:v>
                </c:pt>
                <c:pt idx="665">
                  <c:v>2466.65</c:v>
                </c:pt>
                <c:pt idx="666">
                  <c:v>2418.1999999999998</c:v>
                </c:pt>
                <c:pt idx="667">
                  <c:v>2416.3000000000002</c:v>
                </c:pt>
                <c:pt idx="668">
                  <c:v>2419.75</c:v>
                </c:pt>
                <c:pt idx="669">
                  <c:v>2423.75</c:v>
                </c:pt>
                <c:pt idx="670">
                  <c:v>2416.9</c:v>
                </c:pt>
                <c:pt idx="671">
                  <c:v>2408.5500000000002</c:v>
                </c:pt>
                <c:pt idx="672">
                  <c:v>2376.1</c:v>
                </c:pt>
                <c:pt idx="673">
                  <c:v>2362.0500000000002</c:v>
                </c:pt>
                <c:pt idx="674">
                  <c:v>2387.9</c:v>
                </c:pt>
                <c:pt idx="675">
                  <c:v>2422.9</c:v>
                </c:pt>
                <c:pt idx="676">
                  <c:v>2410.25</c:v>
                </c:pt>
                <c:pt idx="677">
                  <c:v>2379.6</c:v>
                </c:pt>
                <c:pt idx="678">
                  <c:v>2402.9</c:v>
                </c:pt>
                <c:pt idx="679">
                  <c:v>2399.15</c:v>
                </c:pt>
                <c:pt idx="680">
                  <c:v>2387.6999999999998</c:v>
                </c:pt>
                <c:pt idx="681">
                  <c:v>2385.5</c:v>
                </c:pt>
                <c:pt idx="682">
                  <c:v>2388.0500000000002</c:v>
                </c:pt>
                <c:pt idx="683">
                  <c:v>2402</c:v>
                </c:pt>
                <c:pt idx="684">
                  <c:v>2284.4499999999998</c:v>
                </c:pt>
                <c:pt idx="685">
                  <c:v>2295.6</c:v>
                </c:pt>
                <c:pt idx="686">
                  <c:v>2233.5500000000002</c:v>
                </c:pt>
                <c:pt idx="687">
                  <c:v>2397.25</c:v>
                </c:pt>
                <c:pt idx="688">
                  <c:v>2405.9499999999998</c:v>
                </c:pt>
                <c:pt idx="689">
                  <c:v>2414.8000000000002</c:v>
                </c:pt>
                <c:pt idx="690">
                  <c:v>2401.4</c:v>
                </c:pt>
                <c:pt idx="691">
                  <c:v>2509.6</c:v>
                </c:pt>
                <c:pt idx="692">
                  <c:v>2485.65</c:v>
                </c:pt>
                <c:pt idx="693">
                  <c:v>2457.15</c:v>
                </c:pt>
                <c:pt idx="694">
                  <c:v>2462.5500000000002</c:v>
                </c:pt>
                <c:pt idx="695">
                  <c:v>2484.8000000000002</c:v>
                </c:pt>
                <c:pt idx="696">
                  <c:v>2451.15</c:v>
                </c:pt>
                <c:pt idx="697">
                  <c:v>2429.15</c:v>
                </c:pt>
                <c:pt idx="698">
                  <c:v>2439.5500000000002</c:v>
                </c:pt>
                <c:pt idx="699">
                  <c:v>2433.65</c:v>
                </c:pt>
                <c:pt idx="700">
                  <c:v>2433.9499999999998</c:v>
                </c:pt>
                <c:pt idx="701">
                  <c:v>2445.0500000000002</c:v>
                </c:pt>
                <c:pt idx="702">
                  <c:v>2492.15</c:v>
                </c:pt>
                <c:pt idx="703">
                  <c:v>2493.35</c:v>
                </c:pt>
                <c:pt idx="704">
                  <c:v>2496.4499999999998</c:v>
                </c:pt>
                <c:pt idx="705">
                  <c:v>2534.0500000000002</c:v>
                </c:pt>
                <c:pt idx="706">
                  <c:v>2544.35</c:v>
                </c:pt>
                <c:pt idx="707">
                  <c:v>2537.4499999999998</c:v>
                </c:pt>
                <c:pt idx="708">
                  <c:v>2475.6</c:v>
                </c:pt>
                <c:pt idx="709">
                  <c:v>2633.7</c:v>
                </c:pt>
                <c:pt idx="710">
                  <c:v>2326.1</c:v>
                </c:pt>
                <c:pt idx="711">
                  <c:v>1956.05</c:v>
                </c:pt>
                <c:pt idx="712">
                  <c:v>1890</c:v>
                </c:pt>
                <c:pt idx="713">
                  <c:v>1899.5</c:v>
                </c:pt>
                <c:pt idx="714">
                  <c:v>1889.15</c:v>
                </c:pt>
                <c:pt idx="715">
                  <c:v>1916.05</c:v>
                </c:pt>
                <c:pt idx="716">
                  <c:v>1964.7</c:v>
                </c:pt>
                <c:pt idx="717">
                  <c:v>1984.65</c:v>
                </c:pt>
                <c:pt idx="718">
                  <c:v>1892.15</c:v>
                </c:pt>
                <c:pt idx="719">
                  <c:v>1896.1</c:v>
                </c:pt>
                <c:pt idx="720">
                  <c:v>1887.5</c:v>
                </c:pt>
                <c:pt idx="721">
                  <c:v>1920.3</c:v>
                </c:pt>
                <c:pt idx="722">
                  <c:v>1911.25</c:v>
                </c:pt>
                <c:pt idx="723">
                  <c:v>1839</c:v>
                </c:pt>
                <c:pt idx="724">
                  <c:v>1919.85</c:v>
                </c:pt>
                <c:pt idx="725">
                  <c:v>1924.95</c:v>
                </c:pt>
                <c:pt idx="726">
                  <c:v>1853.05</c:v>
                </c:pt>
                <c:pt idx="727">
                  <c:v>1847.9</c:v>
                </c:pt>
                <c:pt idx="728">
                  <c:v>1844.6</c:v>
                </c:pt>
                <c:pt idx="729">
                  <c:v>1801.95</c:v>
                </c:pt>
                <c:pt idx="730">
                  <c:v>1803</c:v>
                </c:pt>
                <c:pt idx="731">
                  <c:v>1842.9</c:v>
                </c:pt>
                <c:pt idx="732">
                  <c:v>1853.85</c:v>
                </c:pt>
                <c:pt idx="733">
                  <c:v>1850.95</c:v>
                </c:pt>
                <c:pt idx="734">
                  <c:v>1878.75</c:v>
                </c:pt>
                <c:pt idx="735">
                  <c:v>1870.75</c:v>
                </c:pt>
                <c:pt idx="736">
                  <c:v>1847.25</c:v>
                </c:pt>
                <c:pt idx="737">
                  <c:v>1803.15</c:v>
                </c:pt>
                <c:pt idx="738">
                  <c:v>1797.25</c:v>
                </c:pt>
                <c:pt idx="739">
                  <c:v>1754.05</c:v>
                </c:pt>
                <c:pt idx="740">
                  <c:v>1698</c:v>
                </c:pt>
                <c:pt idx="741">
                  <c:v>1717.45</c:v>
                </c:pt>
                <c:pt idx="742">
                  <c:v>1750.45</c:v>
                </c:pt>
                <c:pt idx="743">
                  <c:v>1740.4</c:v>
                </c:pt>
                <c:pt idx="744">
                  <c:v>1600.85</c:v>
                </c:pt>
                <c:pt idx="745">
                  <c:v>1723.05</c:v>
                </c:pt>
                <c:pt idx="746">
                  <c:v>1740.65</c:v>
                </c:pt>
                <c:pt idx="747">
                  <c:v>1794</c:v>
                </c:pt>
                <c:pt idx="748">
                  <c:v>1815.4</c:v>
                </c:pt>
                <c:pt idx="749">
                  <c:v>1824.25</c:v>
                </c:pt>
                <c:pt idx="750">
                  <c:v>1804.95</c:v>
                </c:pt>
                <c:pt idx="751">
                  <c:v>1876.55</c:v>
                </c:pt>
                <c:pt idx="752">
                  <c:v>1843.8</c:v>
                </c:pt>
                <c:pt idx="753">
                  <c:v>1839</c:v>
                </c:pt>
                <c:pt idx="754">
                  <c:v>1738.2</c:v>
                </c:pt>
                <c:pt idx="755">
                  <c:v>1874.4</c:v>
                </c:pt>
                <c:pt idx="756">
                  <c:v>1896.2</c:v>
                </c:pt>
                <c:pt idx="757">
                  <c:v>1953.15</c:v>
                </c:pt>
                <c:pt idx="758">
                  <c:v>2039.65</c:v>
                </c:pt>
                <c:pt idx="759">
                  <c:v>1982.9</c:v>
                </c:pt>
                <c:pt idx="760">
                  <c:v>1879.5</c:v>
                </c:pt>
                <c:pt idx="761">
                  <c:v>1607.25</c:v>
                </c:pt>
                <c:pt idx="762">
                  <c:v>1564.3</c:v>
                </c:pt>
                <c:pt idx="763">
                  <c:v>1363.85</c:v>
                </c:pt>
                <c:pt idx="764">
                  <c:v>1193.5</c:v>
                </c:pt>
                <c:pt idx="765">
                  <c:v>1315.65</c:v>
                </c:pt>
                <c:pt idx="766">
                  <c:v>1382.65</c:v>
                </c:pt>
                <c:pt idx="767">
                  <c:v>1404.85</c:v>
                </c:pt>
                <c:pt idx="768">
                  <c:v>1571.1</c:v>
                </c:pt>
                <c:pt idx="769">
                  <c:v>1621.45</c:v>
                </c:pt>
                <c:pt idx="770">
                  <c:v>1722.7</c:v>
                </c:pt>
                <c:pt idx="771">
                  <c:v>1796.6</c:v>
                </c:pt>
                <c:pt idx="772">
                  <c:v>1779.1</c:v>
                </c:pt>
                <c:pt idx="773">
                  <c:v>1749.7</c:v>
                </c:pt>
                <c:pt idx="774">
                  <c:v>1717.65</c:v>
                </c:pt>
                <c:pt idx="775">
                  <c:v>1846.95</c:v>
                </c:pt>
                <c:pt idx="776">
                  <c:v>1925.7</c:v>
                </c:pt>
                <c:pt idx="777">
                  <c:v>2164.25</c:v>
                </c:pt>
                <c:pt idx="778">
                  <c:v>1802.95</c:v>
                </c:pt>
                <c:pt idx="779">
                  <c:v>1572.7</c:v>
                </c:pt>
                <c:pt idx="780">
                  <c:v>1586.8</c:v>
                </c:pt>
                <c:pt idx="781">
                  <c:v>1565.25</c:v>
                </c:pt>
                <c:pt idx="782">
                  <c:v>2135.35</c:v>
                </c:pt>
                <c:pt idx="783">
                  <c:v>2973.9</c:v>
                </c:pt>
                <c:pt idx="784">
                  <c:v>2892.85</c:v>
                </c:pt>
                <c:pt idx="785">
                  <c:v>2761.45</c:v>
                </c:pt>
                <c:pt idx="786">
                  <c:v>3388.95</c:v>
                </c:pt>
                <c:pt idx="787">
                  <c:v>3442</c:v>
                </c:pt>
                <c:pt idx="788">
                  <c:v>3436.35</c:v>
                </c:pt>
                <c:pt idx="789">
                  <c:v>3456.15</c:v>
                </c:pt>
                <c:pt idx="790">
                  <c:v>3463.55</c:v>
                </c:pt>
                <c:pt idx="791">
                  <c:v>3596.7</c:v>
                </c:pt>
                <c:pt idx="792">
                  <c:v>3639.35</c:v>
                </c:pt>
                <c:pt idx="793">
                  <c:v>3619.8</c:v>
                </c:pt>
                <c:pt idx="794">
                  <c:v>3721.15</c:v>
                </c:pt>
                <c:pt idx="795">
                  <c:v>3647.2</c:v>
                </c:pt>
                <c:pt idx="796">
                  <c:v>3635.8</c:v>
                </c:pt>
                <c:pt idx="797">
                  <c:v>3646.9</c:v>
                </c:pt>
                <c:pt idx="798">
                  <c:v>3855.3</c:v>
                </c:pt>
                <c:pt idx="799">
                  <c:v>3824.25</c:v>
                </c:pt>
                <c:pt idx="800">
                  <c:v>3829.8</c:v>
                </c:pt>
                <c:pt idx="801">
                  <c:v>3827.05</c:v>
                </c:pt>
                <c:pt idx="802">
                  <c:v>3830.95</c:v>
                </c:pt>
                <c:pt idx="803">
                  <c:v>3841.2</c:v>
                </c:pt>
                <c:pt idx="804">
                  <c:v>3858.35</c:v>
                </c:pt>
                <c:pt idx="805">
                  <c:v>3810.6</c:v>
                </c:pt>
                <c:pt idx="806">
                  <c:v>3797.7</c:v>
                </c:pt>
                <c:pt idx="807">
                  <c:v>3769.65</c:v>
                </c:pt>
                <c:pt idx="808">
                  <c:v>3716.75</c:v>
                </c:pt>
                <c:pt idx="809">
                  <c:v>3642.2</c:v>
                </c:pt>
                <c:pt idx="810">
                  <c:v>3868.55</c:v>
                </c:pt>
                <c:pt idx="811">
                  <c:v>3901.95</c:v>
                </c:pt>
                <c:pt idx="812">
                  <c:v>4165.3</c:v>
                </c:pt>
                <c:pt idx="813">
                  <c:v>4075.3</c:v>
                </c:pt>
                <c:pt idx="814">
                  <c:v>3980.8</c:v>
                </c:pt>
                <c:pt idx="815">
                  <c:v>4043.75</c:v>
                </c:pt>
                <c:pt idx="816">
                  <c:v>4055.8</c:v>
                </c:pt>
                <c:pt idx="817">
                  <c:v>4060.2</c:v>
                </c:pt>
                <c:pt idx="818">
                  <c:v>4016.7</c:v>
                </c:pt>
                <c:pt idx="819">
                  <c:v>3996.8</c:v>
                </c:pt>
                <c:pt idx="820">
                  <c:v>4025</c:v>
                </c:pt>
                <c:pt idx="821">
                  <c:v>3999.3</c:v>
                </c:pt>
                <c:pt idx="822">
                  <c:v>4031.8</c:v>
                </c:pt>
                <c:pt idx="823">
                  <c:v>3930.4</c:v>
                </c:pt>
                <c:pt idx="824">
                  <c:v>3922.5</c:v>
                </c:pt>
                <c:pt idx="825">
                  <c:v>3915.1</c:v>
                </c:pt>
                <c:pt idx="826">
                  <c:v>3917.9</c:v>
                </c:pt>
                <c:pt idx="827">
                  <c:v>3878.4</c:v>
                </c:pt>
                <c:pt idx="828">
                  <c:v>3886.15</c:v>
                </c:pt>
                <c:pt idx="829">
                  <c:v>3901.1</c:v>
                </c:pt>
                <c:pt idx="830">
                  <c:v>3921.1</c:v>
                </c:pt>
                <c:pt idx="831">
                  <c:v>3903.3</c:v>
                </c:pt>
                <c:pt idx="832">
                  <c:v>4034</c:v>
                </c:pt>
                <c:pt idx="833">
                  <c:v>4001.85</c:v>
                </c:pt>
                <c:pt idx="834">
                  <c:v>4019.8</c:v>
                </c:pt>
                <c:pt idx="835">
                  <c:v>4018.15</c:v>
                </c:pt>
                <c:pt idx="836">
                  <c:v>3956.6</c:v>
                </c:pt>
                <c:pt idx="837">
                  <c:v>4057.8</c:v>
                </c:pt>
                <c:pt idx="838">
                  <c:v>4022.55</c:v>
                </c:pt>
                <c:pt idx="839">
                  <c:v>4008.85</c:v>
                </c:pt>
                <c:pt idx="840">
                  <c:v>3992.25</c:v>
                </c:pt>
                <c:pt idx="841">
                  <c:v>3997.2</c:v>
                </c:pt>
                <c:pt idx="842">
                  <c:v>3960.6</c:v>
                </c:pt>
                <c:pt idx="843">
                  <c:v>3833.25</c:v>
                </c:pt>
                <c:pt idx="844">
                  <c:v>3590.4</c:v>
                </c:pt>
                <c:pt idx="845">
                  <c:v>3580.7</c:v>
                </c:pt>
                <c:pt idx="846">
                  <c:v>3575.7</c:v>
                </c:pt>
                <c:pt idx="847">
                  <c:v>3347.45</c:v>
                </c:pt>
                <c:pt idx="848">
                  <c:v>3323.3</c:v>
                </c:pt>
                <c:pt idx="849">
                  <c:v>3325</c:v>
                </c:pt>
                <c:pt idx="850">
                  <c:v>3300.5</c:v>
                </c:pt>
                <c:pt idx="851">
                  <c:v>3309.8</c:v>
                </c:pt>
                <c:pt idx="852">
                  <c:v>3311.9</c:v>
                </c:pt>
                <c:pt idx="853">
                  <c:v>3357.1</c:v>
                </c:pt>
                <c:pt idx="854">
                  <c:v>3277.25</c:v>
                </c:pt>
                <c:pt idx="855">
                  <c:v>3284.3</c:v>
                </c:pt>
                <c:pt idx="856">
                  <c:v>3212.6</c:v>
                </c:pt>
                <c:pt idx="857">
                  <c:v>3209.5</c:v>
                </c:pt>
                <c:pt idx="858">
                  <c:v>3233.65</c:v>
                </c:pt>
                <c:pt idx="859">
                  <c:v>3223.65</c:v>
                </c:pt>
                <c:pt idx="860">
                  <c:v>3273.95</c:v>
                </c:pt>
                <c:pt idx="861">
                  <c:v>3246.25</c:v>
                </c:pt>
                <c:pt idx="862">
                  <c:v>3277.6</c:v>
                </c:pt>
                <c:pt idx="863">
                  <c:v>3285</c:v>
                </c:pt>
                <c:pt idx="864">
                  <c:v>3237.7</c:v>
                </c:pt>
                <c:pt idx="865">
                  <c:v>3157.3</c:v>
                </c:pt>
                <c:pt idx="866">
                  <c:v>3455.75</c:v>
                </c:pt>
                <c:pt idx="867">
                  <c:v>3470.7</c:v>
                </c:pt>
                <c:pt idx="868">
                  <c:v>3548.75</c:v>
                </c:pt>
                <c:pt idx="869">
                  <c:v>3559.1</c:v>
                </c:pt>
                <c:pt idx="870">
                  <c:v>3586.2</c:v>
                </c:pt>
                <c:pt idx="871">
                  <c:v>3674.3</c:v>
                </c:pt>
                <c:pt idx="872">
                  <c:v>3716.3</c:v>
                </c:pt>
                <c:pt idx="873">
                  <c:v>3640.1</c:v>
                </c:pt>
                <c:pt idx="874">
                  <c:v>3834.55</c:v>
                </c:pt>
                <c:pt idx="875">
                  <c:v>3778.65</c:v>
                </c:pt>
                <c:pt idx="876">
                  <c:v>3702.2</c:v>
                </c:pt>
                <c:pt idx="877">
                  <c:v>3748.7</c:v>
                </c:pt>
                <c:pt idx="878">
                  <c:v>3572.1</c:v>
                </c:pt>
                <c:pt idx="879">
                  <c:v>3555.8</c:v>
                </c:pt>
                <c:pt idx="880">
                  <c:v>3463.8</c:v>
                </c:pt>
                <c:pt idx="881">
                  <c:v>3451.2</c:v>
                </c:pt>
                <c:pt idx="882">
                  <c:v>3462.8</c:v>
                </c:pt>
                <c:pt idx="883">
                  <c:v>3473.75</c:v>
                </c:pt>
                <c:pt idx="884">
                  <c:v>3435.8</c:v>
                </c:pt>
                <c:pt idx="885">
                  <c:v>3346.55</c:v>
                </c:pt>
                <c:pt idx="886">
                  <c:v>3355.8</c:v>
                </c:pt>
                <c:pt idx="887">
                  <c:v>3233.25</c:v>
                </c:pt>
                <c:pt idx="888">
                  <c:v>3194.35</c:v>
                </c:pt>
                <c:pt idx="889">
                  <c:v>3142.6</c:v>
                </c:pt>
                <c:pt idx="890">
                  <c:v>3139.55</c:v>
                </c:pt>
                <c:pt idx="891">
                  <c:v>3066.35</c:v>
                </c:pt>
                <c:pt idx="892">
                  <c:v>3134.65</c:v>
                </c:pt>
                <c:pt idx="893">
                  <c:v>3030.65</c:v>
                </c:pt>
                <c:pt idx="894">
                  <c:v>3051.6</c:v>
                </c:pt>
                <c:pt idx="895">
                  <c:v>3130.2</c:v>
                </c:pt>
                <c:pt idx="896">
                  <c:v>3153.65</c:v>
                </c:pt>
                <c:pt idx="897">
                  <c:v>3008.65</c:v>
                </c:pt>
                <c:pt idx="898">
                  <c:v>2975.85</c:v>
                </c:pt>
                <c:pt idx="899">
                  <c:v>2864.55</c:v>
                </c:pt>
                <c:pt idx="900">
                  <c:v>2834.05</c:v>
                </c:pt>
                <c:pt idx="901">
                  <c:v>2827.2</c:v>
                </c:pt>
                <c:pt idx="902">
                  <c:v>2791.9</c:v>
                </c:pt>
                <c:pt idx="903">
                  <c:v>2698.4</c:v>
                </c:pt>
                <c:pt idx="904">
                  <c:v>2723.6</c:v>
                </c:pt>
                <c:pt idx="905">
                  <c:v>2711.4</c:v>
                </c:pt>
                <c:pt idx="906">
                  <c:v>2683.65</c:v>
                </c:pt>
                <c:pt idx="907">
                  <c:v>2660.15</c:v>
                </c:pt>
                <c:pt idx="908">
                  <c:v>2569.1999999999998</c:v>
                </c:pt>
                <c:pt idx="909">
                  <c:v>2550.4</c:v>
                </c:pt>
                <c:pt idx="910">
                  <c:v>2548.6999999999998</c:v>
                </c:pt>
                <c:pt idx="911">
                  <c:v>2559.6999999999998</c:v>
                </c:pt>
                <c:pt idx="912">
                  <c:v>2550.6</c:v>
                </c:pt>
                <c:pt idx="913">
                  <c:v>2499.4</c:v>
                </c:pt>
                <c:pt idx="914">
                  <c:v>2495.5</c:v>
                </c:pt>
                <c:pt idx="915">
                  <c:v>2451.1</c:v>
                </c:pt>
                <c:pt idx="916">
                  <c:v>2451.3000000000002</c:v>
                </c:pt>
                <c:pt idx="917">
                  <c:v>2423.6</c:v>
                </c:pt>
                <c:pt idx="918">
                  <c:v>2405.25</c:v>
                </c:pt>
                <c:pt idx="919">
                  <c:v>2383.1</c:v>
                </c:pt>
                <c:pt idx="920">
                  <c:v>2353.5</c:v>
                </c:pt>
                <c:pt idx="921">
                  <c:v>2365.65</c:v>
                </c:pt>
                <c:pt idx="922">
                  <c:v>2373.25</c:v>
                </c:pt>
                <c:pt idx="923">
                  <c:v>2293.0500000000002</c:v>
                </c:pt>
                <c:pt idx="924">
                  <c:v>2274.3000000000002</c:v>
                </c:pt>
                <c:pt idx="925">
                  <c:v>2272.85</c:v>
                </c:pt>
                <c:pt idx="926">
                  <c:v>2246.4499999999998</c:v>
                </c:pt>
                <c:pt idx="927">
                  <c:v>2261.85</c:v>
                </c:pt>
                <c:pt idx="928">
                  <c:v>2232.1999999999998</c:v>
                </c:pt>
                <c:pt idx="929">
                  <c:v>2190.9</c:v>
                </c:pt>
                <c:pt idx="930">
                  <c:v>2220.1</c:v>
                </c:pt>
                <c:pt idx="931">
                  <c:v>2204.6</c:v>
                </c:pt>
                <c:pt idx="932">
                  <c:v>2181.6</c:v>
                </c:pt>
                <c:pt idx="933">
                  <c:v>2161.4499999999998</c:v>
                </c:pt>
                <c:pt idx="934">
                  <c:v>2110.35</c:v>
                </c:pt>
                <c:pt idx="935">
                  <c:v>2089.1999999999998</c:v>
                </c:pt>
                <c:pt idx="936">
                  <c:v>2161.8000000000002</c:v>
                </c:pt>
                <c:pt idx="937">
                  <c:v>2079.85</c:v>
                </c:pt>
                <c:pt idx="938">
                  <c:v>2095.8000000000002</c:v>
                </c:pt>
                <c:pt idx="939">
                  <c:v>2083</c:v>
                </c:pt>
                <c:pt idx="940">
                  <c:v>2184.6</c:v>
                </c:pt>
                <c:pt idx="941">
                  <c:v>2196.4499999999998</c:v>
                </c:pt>
                <c:pt idx="942">
                  <c:v>2079.75</c:v>
                </c:pt>
                <c:pt idx="943">
                  <c:v>2203.1</c:v>
                </c:pt>
                <c:pt idx="944">
                  <c:v>2219.1999999999998</c:v>
                </c:pt>
                <c:pt idx="945">
                  <c:v>2177.1999999999998</c:v>
                </c:pt>
                <c:pt idx="946">
                  <c:v>2227.5500000000002</c:v>
                </c:pt>
                <c:pt idx="947">
                  <c:v>2225.0500000000002</c:v>
                </c:pt>
                <c:pt idx="948">
                  <c:v>2190</c:v>
                </c:pt>
                <c:pt idx="949">
                  <c:v>2209.4</c:v>
                </c:pt>
                <c:pt idx="950">
                  <c:v>2150.9</c:v>
                </c:pt>
                <c:pt idx="951">
                  <c:v>2167.5500000000002</c:v>
                </c:pt>
                <c:pt idx="952">
                  <c:v>2165.65</c:v>
                </c:pt>
                <c:pt idx="953">
                  <c:v>2080.15</c:v>
                </c:pt>
                <c:pt idx="954">
                  <c:v>2046.4</c:v>
                </c:pt>
                <c:pt idx="955">
                  <c:v>2074.15</c:v>
                </c:pt>
                <c:pt idx="956">
                  <c:v>2160.1999999999998</c:v>
                </c:pt>
                <c:pt idx="957">
                  <c:v>2170.65</c:v>
                </c:pt>
                <c:pt idx="958">
                  <c:v>2219.5500000000002</c:v>
                </c:pt>
                <c:pt idx="959">
                  <c:v>2114.75</c:v>
                </c:pt>
                <c:pt idx="960">
                  <c:v>2181.1</c:v>
                </c:pt>
                <c:pt idx="961">
                  <c:v>2184.85</c:v>
                </c:pt>
                <c:pt idx="962">
                  <c:v>2105.9</c:v>
                </c:pt>
                <c:pt idx="963">
                  <c:v>2054.15</c:v>
                </c:pt>
                <c:pt idx="964">
                  <c:v>2045.2</c:v>
                </c:pt>
                <c:pt idx="965">
                  <c:v>2119.3000000000002</c:v>
                </c:pt>
                <c:pt idx="966">
                  <c:v>2109.5</c:v>
                </c:pt>
                <c:pt idx="967">
                  <c:v>2197.65</c:v>
                </c:pt>
                <c:pt idx="968">
                  <c:v>2247.6999999999998</c:v>
                </c:pt>
                <c:pt idx="969">
                  <c:v>2255.4</c:v>
                </c:pt>
                <c:pt idx="970">
                  <c:v>2253.8000000000002</c:v>
                </c:pt>
                <c:pt idx="971">
                  <c:v>2339.5</c:v>
                </c:pt>
                <c:pt idx="972">
                  <c:v>2332</c:v>
                </c:pt>
                <c:pt idx="973">
                  <c:v>2378.5500000000002</c:v>
                </c:pt>
                <c:pt idx="974">
                  <c:v>2334.1</c:v>
                </c:pt>
                <c:pt idx="975">
                  <c:v>2395.3000000000002</c:v>
                </c:pt>
                <c:pt idx="976">
                  <c:v>2284.1999999999998</c:v>
                </c:pt>
                <c:pt idx="977">
                  <c:v>2273.3000000000002</c:v>
                </c:pt>
                <c:pt idx="978">
                  <c:v>2286.35</c:v>
                </c:pt>
                <c:pt idx="979">
                  <c:v>2183.9499999999998</c:v>
                </c:pt>
                <c:pt idx="980">
                  <c:v>2168.3000000000002</c:v>
                </c:pt>
                <c:pt idx="981">
                  <c:v>2233.85</c:v>
                </c:pt>
                <c:pt idx="982">
                  <c:v>2199.4499999999998</c:v>
                </c:pt>
                <c:pt idx="983">
                  <c:v>2196.9499999999998</c:v>
                </c:pt>
                <c:pt idx="984">
                  <c:v>2180.1999999999998</c:v>
                </c:pt>
                <c:pt idx="985">
                  <c:v>2170.9499999999998</c:v>
                </c:pt>
                <c:pt idx="986">
                  <c:v>2099.0500000000002</c:v>
                </c:pt>
                <c:pt idx="987">
                  <c:v>2160</c:v>
                </c:pt>
                <c:pt idx="988">
                  <c:v>2139.85</c:v>
                </c:pt>
                <c:pt idx="989">
                  <c:v>2065.85</c:v>
                </c:pt>
                <c:pt idx="990">
                  <c:v>2043.65</c:v>
                </c:pt>
                <c:pt idx="991">
                  <c:v>2014.75</c:v>
                </c:pt>
                <c:pt idx="992">
                  <c:v>1995.25</c:v>
                </c:pt>
                <c:pt idx="993">
                  <c:v>1917.25</c:v>
                </c:pt>
                <c:pt idx="994">
                  <c:v>1909.7</c:v>
                </c:pt>
                <c:pt idx="995">
                  <c:v>1867</c:v>
                </c:pt>
                <c:pt idx="996">
                  <c:v>1832.8</c:v>
                </c:pt>
                <c:pt idx="997">
                  <c:v>1811</c:v>
                </c:pt>
                <c:pt idx="998">
                  <c:v>1831.55</c:v>
                </c:pt>
                <c:pt idx="999">
                  <c:v>1802.95</c:v>
                </c:pt>
                <c:pt idx="1000">
                  <c:v>1819.65</c:v>
                </c:pt>
                <c:pt idx="1001">
                  <c:v>1758</c:v>
                </c:pt>
                <c:pt idx="1002">
                  <c:v>1701.4</c:v>
                </c:pt>
                <c:pt idx="1003">
                  <c:v>1736.1</c:v>
                </c:pt>
                <c:pt idx="1004">
                  <c:v>1734.1</c:v>
                </c:pt>
                <c:pt idx="1005">
                  <c:v>1742.85</c:v>
                </c:pt>
                <c:pt idx="1006">
                  <c:v>1656.55</c:v>
                </c:pt>
                <c:pt idx="1007">
                  <c:v>1601.6</c:v>
                </c:pt>
                <c:pt idx="1008">
                  <c:v>1564.05</c:v>
                </c:pt>
                <c:pt idx="1009">
                  <c:v>1615</c:v>
                </c:pt>
                <c:pt idx="1010">
                  <c:v>1643.8</c:v>
                </c:pt>
                <c:pt idx="1011">
                  <c:v>1641.8</c:v>
                </c:pt>
                <c:pt idx="1012">
                  <c:v>1644.45</c:v>
                </c:pt>
                <c:pt idx="1013">
                  <c:v>1618.7</c:v>
                </c:pt>
                <c:pt idx="1014">
                  <c:v>1543.95</c:v>
                </c:pt>
                <c:pt idx="1015">
                  <c:v>1688.7</c:v>
                </c:pt>
                <c:pt idx="1016">
                  <c:v>1667.7</c:v>
                </c:pt>
                <c:pt idx="1017">
                  <c:v>1685.2</c:v>
                </c:pt>
                <c:pt idx="1018">
                  <c:v>1736.3</c:v>
                </c:pt>
                <c:pt idx="1019">
                  <c:v>1730.95</c:v>
                </c:pt>
                <c:pt idx="1020">
                  <c:v>1738.1</c:v>
                </c:pt>
                <c:pt idx="1021">
                  <c:v>1744.25</c:v>
                </c:pt>
                <c:pt idx="1022">
                  <c:v>1663.95</c:v>
                </c:pt>
                <c:pt idx="1023">
                  <c:v>1764.3</c:v>
                </c:pt>
                <c:pt idx="1024">
                  <c:v>1786.1</c:v>
                </c:pt>
                <c:pt idx="1025">
                  <c:v>1783.15</c:v>
                </c:pt>
                <c:pt idx="1026">
                  <c:v>1716</c:v>
                </c:pt>
                <c:pt idx="1027">
                  <c:v>1731.8</c:v>
                </c:pt>
                <c:pt idx="1028">
                  <c:v>1757.3</c:v>
                </c:pt>
                <c:pt idx="1029">
                  <c:v>1751.85</c:v>
                </c:pt>
                <c:pt idx="1030">
                  <c:v>1779.35</c:v>
                </c:pt>
                <c:pt idx="1031">
                  <c:v>1746.9</c:v>
                </c:pt>
                <c:pt idx="1032">
                  <c:v>1714.95</c:v>
                </c:pt>
                <c:pt idx="1033">
                  <c:v>1693.7</c:v>
                </c:pt>
                <c:pt idx="1034">
                  <c:v>1686</c:v>
                </c:pt>
                <c:pt idx="1035">
                  <c:v>1741.4</c:v>
                </c:pt>
                <c:pt idx="1036">
                  <c:v>1715.8</c:v>
                </c:pt>
                <c:pt idx="1037">
                  <c:v>1828.35</c:v>
                </c:pt>
                <c:pt idx="1038">
                  <c:v>1865.85</c:v>
                </c:pt>
                <c:pt idx="1039">
                  <c:v>1849.3</c:v>
                </c:pt>
                <c:pt idx="1040">
                  <c:v>1840.95</c:v>
                </c:pt>
                <c:pt idx="1041">
                  <c:v>1877.8</c:v>
                </c:pt>
                <c:pt idx="1042">
                  <c:v>1870.25</c:v>
                </c:pt>
                <c:pt idx="1043">
                  <c:v>1853.35</c:v>
                </c:pt>
                <c:pt idx="1044">
                  <c:v>1830.1</c:v>
                </c:pt>
                <c:pt idx="1045">
                  <c:v>1843.9</c:v>
                </c:pt>
                <c:pt idx="1046">
                  <c:v>1752.6</c:v>
                </c:pt>
                <c:pt idx="1047">
                  <c:v>1699.1</c:v>
                </c:pt>
                <c:pt idx="1048">
                  <c:v>1713.1</c:v>
                </c:pt>
                <c:pt idx="1049">
                  <c:v>1715.45</c:v>
                </c:pt>
                <c:pt idx="1050">
                  <c:v>1719</c:v>
                </c:pt>
                <c:pt idx="1051">
                  <c:v>1717.15</c:v>
                </c:pt>
                <c:pt idx="1052">
                  <c:v>1709.45</c:v>
                </c:pt>
                <c:pt idx="1053">
                  <c:v>1696.4</c:v>
                </c:pt>
                <c:pt idx="1054">
                  <c:v>1718.05</c:v>
                </c:pt>
                <c:pt idx="1055">
                  <c:v>1751</c:v>
                </c:pt>
                <c:pt idx="1056">
                  <c:v>1730.2</c:v>
                </c:pt>
                <c:pt idx="1057">
                  <c:v>1698.2</c:v>
                </c:pt>
                <c:pt idx="1058">
                  <c:v>1676.2</c:v>
                </c:pt>
                <c:pt idx="1059">
                  <c:v>1658.1</c:v>
                </c:pt>
                <c:pt idx="1060">
                  <c:v>1620.5</c:v>
                </c:pt>
                <c:pt idx="1061">
                  <c:v>1589.95</c:v>
                </c:pt>
                <c:pt idx="1062">
                  <c:v>1645.3</c:v>
                </c:pt>
                <c:pt idx="1063">
                  <c:v>1702.05</c:v>
                </c:pt>
                <c:pt idx="1064">
                  <c:v>1695.3</c:v>
                </c:pt>
                <c:pt idx="1065">
                  <c:v>1720.1</c:v>
                </c:pt>
                <c:pt idx="1066">
                  <c:v>1719.55</c:v>
                </c:pt>
                <c:pt idx="1067">
                  <c:v>1740.4</c:v>
                </c:pt>
                <c:pt idx="1068">
                  <c:v>1722.25</c:v>
                </c:pt>
                <c:pt idx="1069">
                  <c:v>1715.5</c:v>
                </c:pt>
                <c:pt idx="1070">
                  <c:v>1678.45</c:v>
                </c:pt>
                <c:pt idx="1071">
                  <c:v>1645.6</c:v>
                </c:pt>
                <c:pt idx="1072">
                  <c:v>1708.1</c:v>
                </c:pt>
                <c:pt idx="1073">
                  <c:v>1732.25</c:v>
                </c:pt>
                <c:pt idx="1074">
                  <c:v>1693.3</c:v>
                </c:pt>
                <c:pt idx="1075">
                  <c:v>1662.85</c:v>
                </c:pt>
                <c:pt idx="1076">
                  <c:v>1665.05</c:v>
                </c:pt>
                <c:pt idx="1077">
                  <c:v>1669.55</c:v>
                </c:pt>
                <c:pt idx="1078">
                  <c:v>1763.05</c:v>
                </c:pt>
                <c:pt idx="1079">
                  <c:v>1755.15</c:v>
                </c:pt>
                <c:pt idx="1080">
                  <c:v>1707.95</c:v>
                </c:pt>
                <c:pt idx="1081">
                  <c:v>1675.75</c:v>
                </c:pt>
                <c:pt idx="1082">
                  <c:v>1688.75</c:v>
                </c:pt>
                <c:pt idx="1083">
                  <c:v>1706.45</c:v>
                </c:pt>
                <c:pt idx="1084">
                  <c:v>1711.6</c:v>
                </c:pt>
                <c:pt idx="1085">
                  <c:v>1749.55</c:v>
                </c:pt>
                <c:pt idx="1086">
                  <c:v>1705.2</c:v>
                </c:pt>
                <c:pt idx="1087">
                  <c:v>1664.9</c:v>
                </c:pt>
                <c:pt idx="1088">
                  <c:v>1655.85</c:v>
                </c:pt>
                <c:pt idx="1089">
                  <c:v>1635.45</c:v>
                </c:pt>
                <c:pt idx="1090">
                  <c:v>1568.25</c:v>
                </c:pt>
                <c:pt idx="1091">
                  <c:v>1489.45</c:v>
                </c:pt>
                <c:pt idx="1092">
                  <c:v>1485.9</c:v>
                </c:pt>
                <c:pt idx="1093">
                  <c:v>1472.8</c:v>
                </c:pt>
                <c:pt idx="1094">
                  <c:v>1445.3</c:v>
                </c:pt>
                <c:pt idx="1095">
                  <c:v>1423.6</c:v>
                </c:pt>
                <c:pt idx="1096">
                  <c:v>1398.55</c:v>
                </c:pt>
                <c:pt idx="1097">
                  <c:v>1566.55</c:v>
                </c:pt>
                <c:pt idx="1098">
                  <c:v>1543.85</c:v>
                </c:pt>
                <c:pt idx="1099">
                  <c:v>1532.2</c:v>
                </c:pt>
                <c:pt idx="1100">
                  <c:v>1543</c:v>
                </c:pt>
                <c:pt idx="1101">
                  <c:v>1595.05</c:v>
                </c:pt>
                <c:pt idx="1102">
                  <c:v>1589.7</c:v>
                </c:pt>
                <c:pt idx="1103">
                  <c:v>1569.45</c:v>
                </c:pt>
                <c:pt idx="1104">
                  <c:v>1615.5</c:v>
                </c:pt>
                <c:pt idx="1105">
                  <c:v>1646.35</c:v>
                </c:pt>
                <c:pt idx="1106">
                  <c:v>1569.7</c:v>
                </c:pt>
                <c:pt idx="1107">
                  <c:v>1554.45</c:v>
                </c:pt>
                <c:pt idx="1108">
                  <c:v>1539.75</c:v>
                </c:pt>
                <c:pt idx="1109">
                  <c:v>1547.9</c:v>
                </c:pt>
                <c:pt idx="1110">
                  <c:v>1520.75</c:v>
                </c:pt>
                <c:pt idx="1111">
                  <c:v>1479.55</c:v>
                </c:pt>
                <c:pt idx="1112">
                  <c:v>1527.65</c:v>
                </c:pt>
                <c:pt idx="1113">
                  <c:v>1526.65</c:v>
                </c:pt>
                <c:pt idx="1114">
                  <c:v>1458.7</c:v>
                </c:pt>
                <c:pt idx="1115">
                  <c:v>1468.1</c:v>
                </c:pt>
                <c:pt idx="1116">
                  <c:v>1485.65</c:v>
                </c:pt>
                <c:pt idx="1117">
                  <c:v>1487.3</c:v>
                </c:pt>
                <c:pt idx="1118">
                  <c:v>1531.25</c:v>
                </c:pt>
                <c:pt idx="1119">
                  <c:v>1461.7</c:v>
                </c:pt>
                <c:pt idx="1120">
                  <c:v>1474.35</c:v>
                </c:pt>
                <c:pt idx="1121">
                  <c:v>1437.75</c:v>
                </c:pt>
                <c:pt idx="1122">
                  <c:v>1441.45</c:v>
                </c:pt>
                <c:pt idx="1123">
                  <c:v>1418.85</c:v>
                </c:pt>
                <c:pt idx="1124">
                  <c:v>1480.25</c:v>
                </c:pt>
                <c:pt idx="1125">
                  <c:v>1503.2</c:v>
                </c:pt>
                <c:pt idx="1126">
                  <c:v>1516.8</c:v>
                </c:pt>
                <c:pt idx="1127">
                  <c:v>1513.2</c:v>
                </c:pt>
                <c:pt idx="1128">
                  <c:v>1532.45</c:v>
                </c:pt>
                <c:pt idx="1129">
                  <c:v>1545</c:v>
                </c:pt>
                <c:pt idx="1130">
                  <c:v>1555.95</c:v>
                </c:pt>
                <c:pt idx="1131">
                  <c:v>1558.1</c:v>
                </c:pt>
                <c:pt idx="1132">
                  <c:v>1582</c:v>
                </c:pt>
                <c:pt idx="1133">
                  <c:v>1565.55</c:v>
                </c:pt>
                <c:pt idx="1134">
                  <c:v>1570.55</c:v>
                </c:pt>
                <c:pt idx="1135">
                  <c:v>1565.2</c:v>
                </c:pt>
                <c:pt idx="1136">
                  <c:v>1587.6</c:v>
                </c:pt>
                <c:pt idx="1137">
                  <c:v>1516.55</c:v>
                </c:pt>
                <c:pt idx="1138">
                  <c:v>1506.05</c:v>
                </c:pt>
                <c:pt idx="1139">
                  <c:v>1475.7</c:v>
                </c:pt>
                <c:pt idx="1140">
                  <c:v>1475.35</c:v>
                </c:pt>
                <c:pt idx="1141">
                  <c:v>1437.8</c:v>
                </c:pt>
                <c:pt idx="1142">
                  <c:v>1396.7</c:v>
                </c:pt>
                <c:pt idx="1143">
                  <c:v>1430.1</c:v>
                </c:pt>
                <c:pt idx="1144">
                  <c:v>1460</c:v>
                </c:pt>
                <c:pt idx="1145">
                  <c:v>1441.65</c:v>
                </c:pt>
                <c:pt idx="1146">
                  <c:v>1430.1</c:v>
                </c:pt>
                <c:pt idx="1147">
                  <c:v>1437</c:v>
                </c:pt>
                <c:pt idx="1148">
                  <c:v>1442.9</c:v>
                </c:pt>
                <c:pt idx="1149">
                  <c:v>1437.05</c:v>
                </c:pt>
                <c:pt idx="1150">
                  <c:v>1446.5</c:v>
                </c:pt>
                <c:pt idx="1151">
                  <c:v>1493.4</c:v>
                </c:pt>
                <c:pt idx="1152">
                  <c:v>1536.65</c:v>
                </c:pt>
                <c:pt idx="1153">
                  <c:v>1432.35</c:v>
                </c:pt>
                <c:pt idx="1154">
                  <c:v>1429.55</c:v>
                </c:pt>
                <c:pt idx="1155">
                  <c:v>1442.8</c:v>
                </c:pt>
                <c:pt idx="1156">
                  <c:v>1438.2</c:v>
                </c:pt>
                <c:pt idx="1157">
                  <c:v>1420.25</c:v>
                </c:pt>
                <c:pt idx="1158">
                  <c:v>1400.25</c:v>
                </c:pt>
                <c:pt idx="1159">
                  <c:v>1399.9</c:v>
                </c:pt>
                <c:pt idx="1160">
                  <c:v>1396.75</c:v>
                </c:pt>
                <c:pt idx="1161">
                  <c:v>1403.9</c:v>
                </c:pt>
                <c:pt idx="1162">
                  <c:v>1401.65</c:v>
                </c:pt>
                <c:pt idx="1163">
                  <c:v>1416.75</c:v>
                </c:pt>
                <c:pt idx="1164">
                  <c:v>1365.7</c:v>
                </c:pt>
                <c:pt idx="1165">
                  <c:v>1380.6</c:v>
                </c:pt>
                <c:pt idx="1166">
                  <c:v>1395.5</c:v>
                </c:pt>
                <c:pt idx="1167">
                  <c:v>1407.95</c:v>
                </c:pt>
                <c:pt idx="1168">
                  <c:v>1402.05</c:v>
                </c:pt>
                <c:pt idx="1169">
                  <c:v>1417.7</c:v>
                </c:pt>
                <c:pt idx="1170">
                  <c:v>1420.7</c:v>
                </c:pt>
                <c:pt idx="1171">
                  <c:v>1431.35</c:v>
                </c:pt>
                <c:pt idx="1172">
                  <c:v>1425.9</c:v>
                </c:pt>
                <c:pt idx="1173">
                  <c:v>1425.65</c:v>
                </c:pt>
                <c:pt idx="1174">
                  <c:v>1414.8</c:v>
                </c:pt>
                <c:pt idx="1175">
                  <c:v>1394.35</c:v>
                </c:pt>
                <c:pt idx="1176">
                  <c:v>1422.05</c:v>
                </c:pt>
                <c:pt idx="1177">
                  <c:v>1490.25</c:v>
                </c:pt>
                <c:pt idx="1178">
                  <c:v>1507.55</c:v>
                </c:pt>
                <c:pt idx="1179">
                  <c:v>1523.55</c:v>
                </c:pt>
                <c:pt idx="1180">
                  <c:v>1525.75</c:v>
                </c:pt>
                <c:pt idx="1181">
                  <c:v>1519.45</c:v>
                </c:pt>
                <c:pt idx="1182">
                  <c:v>1508.5</c:v>
                </c:pt>
                <c:pt idx="1183">
                  <c:v>1504.75</c:v>
                </c:pt>
                <c:pt idx="1184">
                  <c:v>1541.6</c:v>
                </c:pt>
                <c:pt idx="1185">
                  <c:v>1540</c:v>
                </c:pt>
                <c:pt idx="1186">
                  <c:v>1487.5</c:v>
                </c:pt>
                <c:pt idx="1187">
                  <c:v>1367.7</c:v>
                </c:pt>
                <c:pt idx="1188">
                  <c:v>1448.3</c:v>
                </c:pt>
                <c:pt idx="1189">
                  <c:v>1538.85</c:v>
                </c:pt>
                <c:pt idx="1190">
                  <c:v>1501.45</c:v>
                </c:pt>
                <c:pt idx="1191">
                  <c:v>1601.6</c:v>
                </c:pt>
                <c:pt idx="1192">
                  <c:v>1612</c:v>
                </c:pt>
                <c:pt idx="1193">
                  <c:v>1594.65</c:v>
                </c:pt>
                <c:pt idx="1194">
                  <c:v>1636.45</c:v>
                </c:pt>
                <c:pt idx="1195">
                  <c:v>1624.3</c:v>
                </c:pt>
                <c:pt idx="1196">
                  <c:v>1700.95</c:v>
                </c:pt>
                <c:pt idx="1197">
                  <c:v>1583.1</c:v>
                </c:pt>
                <c:pt idx="1198">
                  <c:v>1546.75</c:v>
                </c:pt>
                <c:pt idx="1199">
                  <c:v>1416.25</c:v>
                </c:pt>
                <c:pt idx="1200">
                  <c:v>1316.3</c:v>
                </c:pt>
                <c:pt idx="1201">
                  <c:v>1302.5999999999999</c:v>
                </c:pt>
                <c:pt idx="1202">
                  <c:v>1325.8</c:v>
                </c:pt>
                <c:pt idx="1203">
                  <c:v>1322.8</c:v>
                </c:pt>
                <c:pt idx="1204">
                  <c:v>1282.75</c:v>
                </c:pt>
                <c:pt idx="1205">
                  <c:v>1306.8</c:v>
                </c:pt>
                <c:pt idx="1206">
                  <c:v>1315.1</c:v>
                </c:pt>
                <c:pt idx="1207">
                  <c:v>1302</c:v>
                </c:pt>
                <c:pt idx="1208">
                  <c:v>1294.7</c:v>
                </c:pt>
                <c:pt idx="1209">
                  <c:v>1326.7</c:v>
                </c:pt>
                <c:pt idx="1210">
                  <c:v>1289.0999999999999</c:v>
                </c:pt>
                <c:pt idx="1211">
                  <c:v>1220.3499999999999</c:v>
                </c:pt>
                <c:pt idx="1212">
                  <c:v>1285.8</c:v>
                </c:pt>
                <c:pt idx="1213">
                  <c:v>1303.5</c:v>
                </c:pt>
                <c:pt idx="1214">
                  <c:v>1304.0999999999999</c:v>
                </c:pt>
                <c:pt idx="1215">
                  <c:v>1298.9000000000001</c:v>
                </c:pt>
                <c:pt idx="1216">
                  <c:v>1286.75</c:v>
                </c:pt>
                <c:pt idx="1217">
                  <c:v>1267.5</c:v>
                </c:pt>
                <c:pt idx="1218">
                  <c:v>1262.5</c:v>
                </c:pt>
                <c:pt idx="1219">
                  <c:v>1255.55</c:v>
                </c:pt>
                <c:pt idx="1220">
                  <c:v>1158.7</c:v>
                </c:pt>
                <c:pt idx="1221">
                  <c:v>1182.3</c:v>
                </c:pt>
                <c:pt idx="1222">
                  <c:v>1185.2</c:v>
                </c:pt>
                <c:pt idx="1223">
                  <c:v>1191.1500000000001</c:v>
                </c:pt>
                <c:pt idx="1224">
                  <c:v>1173.3499999999999</c:v>
                </c:pt>
                <c:pt idx="1225">
                  <c:v>1157.5999999999999</c:v>
                </c:pt>
                <c:pt idx="1226">
                  <c:v>1157.8</c:v>
                </c:pt>
                <c:pt idx="1227">
                  <c:v>1142.75</c:v>
                </c:pt>
                <c:pt idx="1228">
                  <c:v>1136.3499999999999</c:v>
                </c:pt>
                <c:pt idx="1229">
                  <c:v>1159</c:v>
                </c:pt>
                <c:pt idx="1230">
                  <c:v>1129.95</c:v>
                </c:pt>
                <c:pt idx="1231">
                  <c:v>1106.3499999999999</c:v>
                </c:pt>
                <c:pt idx="1232">
                  <c:v>1074.4000000000001</c:v>
                </c:pt>
                <c:pt idx="1233">
                  <c:v>1201.4000000000001</c:v>
                </c:pt>
                <c:pt idx="1234">
                  <c:v>1162.5</c:v>
                </c:pt>
                <c:pt idx="1235">
                  <c:v>1165.55</c:v>
                </c:pt>
                <c:pt idx="1236">
                  <c:v>1225.4000000000001</c:v>
                </c:pt>
                <c:pt idx="1237">
                  <c:v>1138.25</c:v>
                </c:pt>
                <c:pt idx="1238">
                  <c:v>1107.2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7D-4572-9E5D-A7A960BF5B19}"/>
            </c:ext>
          </c:extLst>
        </c:ser>
        <c:ser>
          <c:idx val="1"/>
          <c:order val="1"/>
          <c:tx>
            <c:strRef>
              <c:f>'Beta Analysis'!$C$1</c:f>
              <c:strCache>
                <c:ptCount val="1"/>
                <c:pt idx="0">
                  <c:v>Nifty 50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'Beta Analysis'!$C$2:$C$1240</c:f>
              <c:numCache>
                <c:formatCode>#,##0.00</c:formatCode>
                <c:ptCount val="1239"/>
                <c:pt idx="0">
                  <c:v>22331.4</c:v>
                </c:pt>
                <c:pt idx="1">
                  <c:v>22819.599999999999</c:v>
                </c:pt>
                <c:pt idx="2">
                  <c:v>23306.45</c:v>
                </c:pt>
                <c:pt idx="3">
                  <c:v>22912.400000000001</c:v>
                </c:pt>
                <c:pt idx="4">
                  <c:v>22512.65</c:v>
                </c:pt>
                <c:pt idx="5">
                  <c:v>23114.5</c:v>
                </c:pt>
                <c:pt idx="6">
                  <c:v>23002.15</c:v>
                </c:pt>
                <c:pt idx="7">
                  <c:v>23777.8</c:v>
                </c:pt>
                <c:pt idx="8">
                  <c:v>23581.15</c:v>
                </c:pt>
                <c:pt idx="9">
                  <c:v>23408.799999999999</c:v>
                </c:pt>
                <c:pt idx="10">
                  <c:v>23151.1</c:v>
                </c:pt>
                <c:pt idx="11">
                  <c:v>23639.15</c:v>
                </c:pt>
                <c:pt idx="12">
                  <c:v>23866.85</c:v>
                </c:pt>
                <c:pt idx="13">
                  <c:v>24261.599999999999</c:v>
                </c:pt>
                <c:pt idx="14">
                  <c:v>24028.05</c:v>
                </c:pt>
                <c:pt idx="15">
                  <c:v>24450.45</c:v>
                </c:pt>
                <c:pt idx="16">
                  <c:v>24765.9</c:v>
                </c:pt>
                <c:pt idx="17">
                  <c:v>24480.5</c:v>
                </c:pt>
                <c:pt idx="18">
                  <c:v>24865.7</c:v>
                </c:pt>
                <c:pt idx="19">
                  <c:v>25178.65</c:v>
                </c:pt>
                <c:pt idx="20">
                  <c:v>25496.55</c:v>
                </c:pt>
                <c:pt idx="21">
                  <c:v>25482.5</c:v>
                </c:pt>
                <c:pt idx="22">
                  <c:v>25424.65</c:v>
                </c:pt>
                <c:pt idx="23">
                  <c:v>25713</c:v>
                </c:pt>
                <c:pt idx="24">
                  <c:v>25571.25</c:v>
                </c:pt>
                <c:pt idx="25">
                  <c:v>25454.35</c:v>
                </c:pt>
                <c:pt idx="26">
                  <c:v>25819.35</c:v>
                </c:pt>
                <c:pt idx="27">
                  <c:v>25725.4</c:v>
                </c:pt>
                <c:pt idx="28">
                  <c:v>25682.75</c:v>
                </c:pt>
                <c:pt idx="29">
                  <c:v>25471.1</c:v>
                </c:pt>
                <c:pt idx="30">
                  <c:v>25807.200000000001</c:v>
                </c:pt>
                <c:pt idx="31">
                  <c:v>25953.85</c:v>
                </c:pt>
                <c:pt idx="32">
                  <c:v>25935.15</c:v>
                </c:pt>
                <c:pt idx="33">
                  <c:v>25867.3</c:v>
                </c:pt>
                <c:pt idx="34">
                  <c:v>25693.7</c:v>
                </c:pt>
                <c:pt idx="35">
                  <c:v>25642.799999999999</c:v>
                </c:pt>
                <c:pt idx="36">
                  <c:v>25776</c:v>
                </c:pt>
                <c:pt idx="37">
                  <c:v>25727.55</c:v>
                </c:pt>
                <c:pt idx="38">
                  <c:v>25088.400000000001</c:v>
                </c:pt>
                <c:pt idx="39">
                  <c:v>24825.45</c:v>
                </c:pt>
                <c:pt idx="40">
                  <c:v>25320.65</c:v>
                </c:pt>
                <c:pt idx="41">
                  <c:v>25418.9</c:v>
                </c:pt>
                <c:pt idx="42">
                  <c:v>25342.75</c:v>
                </c:pt>
                <c:pt idx="43">
                  <c:v>25175.4</c:v>
                </c:pt>
                <c:pt idx="44">
                  <c:v>25048.65</c:v>
                </c:pt>
                <c:pt idx="45">
                  <c:v>25289.9</c:v>
                </c:pt>
                <c:pt idx="46">
                  <c:v>25157.5</c:v>
                </c:pt>
                <c:pt idx="47">
                  <c:v>25232.5</c:v>
                </c:pt>
                <c:pt idx="48">
                  <c:v>25585.5</c:v>
                </c:pt>
                <c:pt idx="49">
                  <c:v>25694.35</c:v>
                </c:pt>
                <c:pt idx="50">
                  <c:v>25665.599999999999</c:v>
                </c:pt>
                <c:pt idx="51">
                  <c:v>25732.3</c:v>
                </c:pt>
                <c:pt idx="52">
                  <c:v>25790.25</c:v>
                </c:pt>
                <c:pt idx="53">
                  <c:v>25683.3</c:v>
                </c:pt>
                <c:pt idx="54">
                  <c:v>25876.85</c:v>
                </c:pt>
                <c:pt idx="55">
                  <c:v>26140.75</c:v>
                </c:pt>
                <c:pt idx="56">
                  <c:v>26178.7</c:v>
                </c:pt>
                <c:pt idx="57">
                  <c:v>26250.3</c:v>
                </c:pt>
                <c:pt idx="58">
                  <c:v>26328.55</c:v>
                </c:pt>
                <c:pt idx="59">
                  <c:v>26146.55</c:v>
                </c:pt>
                <c:pt idx="60">
                  <c:v>26129.599999999999</c:v>
                </c:pt>
                <c:pt idx="61">
                  <c:v>25938.85</c:v>
                </c:pt>
                <c:pt idx="62">
                  <c:v>25942.1</c:v>
                </c:pt>
                <c:pt idx="63">
                  <c:v>26042.3</c:v>
                </c:pt>
                <c:pt idx="64">
                  <c:v>26142.1</c:v>
                </c:pt>
                <c:pt idx="65">
                  <c:v>26177.15</c:v>
                </c:pt>
                <c:pt idx="66">
                  <c:v>26172.400000000001</c:v>
                </c:pt>
                <c:pt idx="67">
                  <c:v>25966.400000000001</c:v>
                </c:pt>
                <c:pt idx="68">
                  <c:v>25815.55</c:v>
                </c:pt>
                <c:pt idx="69">
                  <c:v>25818.55</c:v>
                </c:pt>
                <c:pt idx="70">
                  <c:v>25860.1</c:v>
                </c:pt>
                <c:pt idx="71">
                  <c:v>26027.3</c:v>
                </c:pt>
                <c:pt idx="72">
                  <c:v>26046.95</c:v>
                </c:pt>
                <c:pt idx="73">
                  <c:v>25898.55</c:v>
                </c:pt>
                <c:pt idx="74">
                  <c:v>25758</c:v>
                </c:pt>
                <c:pt idx="75">
                  <c:v>25839.65</c:v>
                </c:pt>
                <c:pt idx="76">
                  <c:v>25960.55</c:v>
                </c:pt>
                <c:pt idx="77">
                  <c:v>26186.45</c:v>
                </c:pt>
                <c:pt idx="78">
                  <c:v>26033.75</c:v>
                </c:pt>
                <c:pt idx="79">
                  <c:v>25986</c:v>
                </c:pt>
                <c:pt idx="80">
                  <c:v>26032.2</c:v>
                </c:pt>
                <c:pt idx="81">
                  <c:v>26175.75</c:v>
                </c:pt>
                <c:pt idx="82">
                  <c:v>26202.95</c:v>
                </c:pt>
                <c:pt idx="83">
                  <c:v>26215.55</c:v>
                </c:pt>
                <c:pt idx="84">
                  <c:v>26205.3</c:v>
                </c:pt>
                <c:pt idx="85">
                  <c:v>25884.799999999999</c:v>
                </c:pt>
                <c:pt idx="86">
                  <c:v>25959.5</c:v>
                </c:pt>
                <c:pt idx="87">
                  <c:v>26068.15</c:v>
                </c:pt>
                <c:pt idx="88">
                  <c:v>26192.15</c:v>
                </c:pt>
                <c:pt idx="89">
                  <c:v>26052.65</c:v>
                </c:pt>
                <c:pt idx="90">
                  <c:v>25910.05</c:v>
                </c:pt>
                <c:pt idx="91">
                  <c:v>26013.45</c:v>
                </c:pt>
                <c:pt idx="92">
                  <c:v>25910.05</c:v>
                </c:pt>
                <c:pt idx="93">
                  <c:v>25879.15</c:v>
                </c:pt>
                <c:pt idx="94">
                  <c:v>25875.8</c:v>
                </c:pt>
                <c:pt idx="95">
                  <c:v>25694.95</c:v>
                </c:pt>
                <c:pt idx="96">
                  <c:v>25574.35</c:v>
                </c:pt>
                <c:pt idx="97">
                  <c:v>25492.3</c:v>
                </c:pt>
                <c:pt idx="98">
                  <c:v>25509.7</c:v>
                </c:pt>
                <c:pt idx="99">
                  <c:v>25597.65</c:v>
                </c:pt>
                <c:pt idx="100">
                  <c:v>25763.35</c:v>
                </c:pt>
                <c:pt idx="101">
                  <c:v>25722.1</c:v>
                </c:pt>
                <c:pt idx="102">
                  <c:v>25877.85</c:v>
                </c:pt>
                <c:pt idx="103">
                  <c:v>26053.9</c:v>
                </c:pt>
                <c:pt idx="104">
                  <c:v>25936.2</c:v>
                </c:pt>
                <c:pt idx="105">
                  <c:v>25966.05</c:v>
                </c:pt>
                <c:pt idx="106">
                  <c:v>25795.15</c:v>
                </c:pt>
                <c:pt idx="107">
                  <c:v>25891.4</c:v>
                </c:pt>
                <c:pt idx="108">
                  <c:v>25868.6</c:v>
                </c:pt>
                <c:pt idx="109">
                  <c:v>25843.15</c:v>
                </c:pt>
                <c:pt idx="110">
                  <c:v>25709.85</c:v>
                </c:pt>
                <c:pt idx="111">
                  <c:v>25585.3</c:v>
                </c:pt>
                <c:pt idx="112">
                  <c:v>25323.55</c:v>
                </c:pt>
                <c:pt idx="113">
                  <c:v>25145.5</c:v>
                </c:pt>
                <c:pt idx="114">
                  <c:v>25227.35</c:v>
                </c:pt>
                <c:pt idx="115">
                  <c:v>25285.35</c:v>
                </c:pt>
                <c:pt idx="116">
                  <c:v>25181.8</c:v>
                </c:pt>
                <c:pt idx="117">
                  <c:v>25046.15</c:v>
                </c:pt>
                <c:pt idx="118">
                  <c:v>25108.3</c:v>
                </c:pt>
                <c:pt idx="119">
                  <c:v>25077.65</c:v>
                </c:pt>
                <c:pt idx="120">
                  <c:v>24894.25</c:v>
                </c:pt>
                <c:pt idx="121">
                  <c:v>24836.3</c:v>
                </c:pt>
                <c:pt idx="122">
                  <c:v>24611.1</c:v>
                </c:pt>
                <c:pt idx="123">
                  <c:v>24634.9</c:v>
                </c:pt>
                <c:pt idx="124">
                  <c:v>24654.7</c:v>
                </c:pt>
                <c:pt idx="125">
                  <c:v>24890.85</c:v>
                </c:pt>
                <c:pt idx="126">
                  <c:v>25056.9</c:v>
                </c:pt>
                <c:pt idx="127">
                  <c:v>25169.5</c:v>
                </c:pt>
                <c:pt idx="128">
                  <c:v>25202.35</c:v>
                </c:pt>
                <c:pt idx="129">
                  <c:v>25327.05</c:v>
                </c:pt>
                <c:pt idx="130">
                  <c:v>25423.599999999999</c:v>
                </c:pt>
                <c:pt idx="131">
                  <c:v>25330.25</c:v>
                </c:pt>
                <c:pt idx="132">
                  <c:v>25239.1</c:v>
                </c:pt>
                <c:pt idx="133">
                  <c:v>25069.200000000001</c:v>
                </c:pt>
                <c:pt idx="134">
                  <c:v>25114</c:v>
                </c:pt>
                <c:pt idx="135">
                  <c:v>25005.5</c:v>
                </c:pt>
                <c:pt idx="136">
                  <c:v>24973.1</c:v>
                </c:pt>
                <c:pt idx="137">
                  <c:v>24868.6</c:v>
                </c:pt>
                <c:pt idx="138">
                  <c:v>24773.15</c:v>
                </c:pt>
                <c:pt idx="139">
                  <c:v>24741</c:v>
                </c:pt>
                <c:pt idx="140">
                  <c:v>24734.3</c:v>
                </c:pt>
                <c:pt idx="141">
                  <c:v>24715.05</c:v>
                </c:pt>
                <c:pt idx="142">
                  <c:v>24579.599999999999</c:v>
                </c:pt>
                <c:pt idx="143">
                  <c:v>24625.05</c:v>
                </c:pt>
                <c:pt idx="144">
                  <c:v>24426.85</c:v>
                </c:pt>
                <c:pt idx="145">
                  <c:v>24500.9</c:v>
                </c:pt>
                <c:pt idx="146">
                  <c:v>24712.05</c:v>
                </c:pt>
                <c:pt idx="147">
                  <c:v>24967.75</c:v>
                </c:pt>
                <c:pt idx="148">
                  <c:v>24870.1</c:v>
                </c:pt>
                <c:pt idx="149">
                  <c:v>25083.75</c:v>
                </c:pt>
                <c:pt idx="150">
                  <c:v>25050.55</c:v>
                </c:pt>
                <c:pt idx="151">
                  <c:v>24980.65</c:v>
                </c:pt>
                <c:pt idx="152">
                  <c:v>24876.95</c:v>
                </c:pt>
                <c:pt idx="153">
                  <c:v>24631.3</c:v>
                </c:pt>
                <c:pt idx="154">
                  <c:v>24619.35</c:v>
                </c:pt>
                <c:pt idx="155">
                  <c:v>24487.4</c:v>
                </c:pt>
                <c:pt idx="156">
                  <c:v>24585.05</c:v>
                </c:pt>
                <c:pt idx="157">
                  <c:v>24363.3</c:v>
                </c:pt>
                <c:pt idx="158">
                  <c:v>24596.15</c:v>
                </c:pt>
                <c:pt idx="159">
                  <c:v>24574.2</c:v>
                </c:pt>
                <c:pt idx="160">
                  <c:v>24649.55</c:v>
                </c:pt>
                <c:pt idx="161">
                  <c:v>24722.75</c:v>
                </c:pt>
                <c:pt idx="162">
                  <c:v>24565.35</c:v>
                </c:pt>
                <c:pt idx="163">
                  <c:v>24768.35</c:v>
                </c:pt>
                <c:pt idx="164">
                  <c:v>24855.05</c:v>
                </c:pt>
                <c:pt idx="165">
                  <c:v>24821.1</c:v>
                </c:pt>
                <c:pt idx="166">
                  <c:v>24680.9</c:v>
                </c:pt>
                <c:pt idx="167">
                  <c:v>24837</c:v>
                </c:pt>
                <c:pt idx="168">
                  <c:v>25062.1</c:v>
                </c:pt>
                <c:pt idx="169">
                  <c:v>25219.9</c:v>
                </c:pt>
                <c:pt idx="170">
                  <c:v>25060.9</c:v>
                </c:pt>
                <c:pt idx="171">
                  <c:v>25090.7</c:v>
                </c:pt>
                <c:pt idx="172">
                  <c:v>24968.400000000001</c:v>
                </c:pt>
                <c:pt idx="173">
                  <c:v>25111.45</c:v>
                </c:pt>
                <c:pt idx="174">
                  <c:v>25212.05</c:v>
                </c:pt>
                <c:pt idx="175">
                  <c:v>25195.8</c:v>
                </c:pt>
                <c:pt idx="176">
                  <c:v>25082.3</c:v>
                </c:pt>
                <c:pt idx="177">
                  <c:v>25149.85</c:v>
                </c:pt>
                <c:pt idx="178">
                  <c:v>25355.25</c:v>
                </c:pt>
                <c:pt idx="179">
                  <c:v>25476.1</c:v>
                </c:pt>
                <c:pt idx="180">
                  <c:v>25522.5</c:v>
                </c:pt>
                <c:pt idx="181">
                  <c:v>25461.3</c:v>
                </c:pt>
                <c:pt idx="182">
                  <c:v>25461</c:v>
                </c:pt>
                <c:pt idx="183">
                  <c:v>25405.3</c:v>
                </c:pt>
                <c:pt idx="184">
                  <c:v>25453.4</c:v>
                </c:pt>
                <c:pt idx="185">
                  <c:v>25541.8</c:v>
                </c:pt>
                <c:pt idx="186">
                  <c:v>25517.05</c:v>
                </c:pt>
                <c:pt idx="187">
                  <c:v>25637.8</c:v>
                </c:pt>
                <c:pt idx="188">
                  <c:v>25549</c:v>
                </c:pt>
                <c:pt idx="189">
                  <c:v>25244.75</c:v>
                </c:pt>
                <c:pt idx="190">
                  <c:v>25044.35</c:v>
                </c:pt>
                <c:pt idx="191">
                  <c:v>24971.9</c:v>
                </c:pt>
                <c:pt idx="192">
                  <c:v>25112.400000000001</c:v>
                </c:pt>
                <c:pt idx="193">
                  <c:v>24793.25</c:v>
                </c:pt>
                <c:pt idx="194">
                  <c:v>24812.05</c:v>
                </c:pt>
                <c:pt idx="195">
                  <c:v>24853.4</c:v>
                </c:pt>
                <c:pt idx="196">
                  <c:v>24946.5</c:v>
                </c:pt>
                <c:pt idx="197">
                  <c:v>24718.6</c:v>
                </c:pt>
                <c:pt idx="198">
                  <c:v>24888.2</c:v>
                </c:pt>
                <c:pt idx="199">
                  <c:v>25141.4</c:v>
                </c:pt>
                <c:pt idx="200">
                  <c:v>25104.25</c:v>
                </c:pt>
                <c:pt idx="201">
                  <c:v>25103.200000000001</c:v>
                </c:pt>
                <c:pt idx="202">
                  <c:v>25003.05</c:v>
                </c:pt>
                <c:pt idx="203">
                  <c:v>24750.9</c:v>
                </c:pt>
                <c:pt idx="204">
                  <c:v>24620.2</c:v>
                </c:pt>
                <c:pt idx="205">
                  <c:v>24542.5</c:v>
                </c:pt>
                <c:pt idx="206">
                  <c:v>24716.6</c:v>
                </c:pt>
                <c:pt idx="207">
                  <c:v>24750.7</c:v>
                </c:pt>
                <c:pt idx="208">
                  <c:v>24833.599999999999</c:v>
                </c:pt>
                <c:pt idx="209">
                  <c:v>24752.45</c:v>
                </c:pt>
                <c:pt idx="210">
                  <c:v>24826.2</c:v>
                </c:pt>
                <c:pt idx="211">
                  <c:v>25001.15</c:v>
                </c:pt>
                <c:pt idx="212">
                  <c:v>24853.15</c:v>
                </c:pt>
                <c:pt idx="213">
                  <c:v>24609.7</c:v>
                </c:pt>
                <c:pt idx="214">
                  <c:v>24813.45</c:v>
                </c:pt>
                <c:pt idx="215">
                  <c:v>24683.9</c:v>
                </c:pt>
                <c:pt idx="216">
                  <c:v>24945.45</c:v>
                </c:pt>
                <c:pt idx="217">
                  <c:v>25019.8</c:v>
                </c:pt>
                <c:pt idx="218">
                  <c:v>25062.1</c:v>
                </c:pt>
                <c:pt idx="219">
                  <c:v>24666.9</c:v>
                </c:pt>
                <c:pt idx="220">
                  <c:v>24578.35</c:v>
                </c:pt>
                <c:pt idx="221">
                  <c:v>24924.7</c:v>
                </c:pt>
                <c:pt idx="222">
                  <c:v>24008</c:v>
                </c:pt>
                <c:pt idx="223">
                  <c:v>24273.8</c:v>
                </c:pt>
                <c:pt idx="224">
                  <c:v>24414.400000000001</c:v>
                </c:pt>
                <c:pt idx="225">
                  <c:v>24379.599999999999</c:v>
                </c:pt>
                <c:pt idx="226">
                  <c:v>24461.15</c:v>
                </c:pt>
                <c:pt idx="227">
                  <c:v>24346.7</c:v>
                </c:pt>
                <c:pt idx="228">
                  <c:v>24334.2</c:v>
                </c:pt>
                <c:pt idx="229">
                  <c:v>24335.95</c:v>
                </c:pt>
                <c:pt idx="230">
                  <c:v>24328.5</c:v>
                </c:pt>
                <c:pt idx="231">
                  <c:v>24039.35</c:v>
                </c:pt>
                <c:pt idx="232">
                  <c:v>24246.7</c:v>
                </c:pt>
                <c:pt idx="233">
                  <c:v>24328.95</c:v>
                </c:pt>
                <c:pt idx="234">
                  <c:v>24167.25</c:v>
                </c:pt>
                <c:pt idx="235">
                  <c:v>24125.55</c:v>
                </c:pt>
                <c:pt idx="236">
                  <c:v>23851.65</c:v>
                </c:pt>
                <c:pt idx="237">
                  <c:v>23437.200000000001</c:v>
                </c:pt>
                <c:pt idx="238">
                  <c:v>23328.55</c:v>
                </c:pt>
                <c:pt idx="239">
                  <c:v>22828.55</c:v>
                </c:pt>
                <c:pt idx="240">
                  <c:v>22399.15</c:v>
                </c:pt>
                <c:pt idx="241">
                  <c:v>22535.85</c:v>
                </c:pt>
                <c:pt idx="242">
                  <c:v>22161.599999999999</c:v>
                </c:pt>
                <c:pt idx="243">
                  <c:v>22904.45</c:v>
                </c:pt>
                <c:pt idx="244">
                  <c:v>23250.1</c:v>
                </c:pt>
                <c:pt idx="245">
                  <c:v>23332.35</c:v>
                </c:pt>
                <c:pt idx="246">
                  <c:v>23165.7</c:v>
                </c:pt>
                <c:pt idx="247">
                  <c:v>23519.35</c:v>
                </c:pt>
                <c:pt idx="248">
                  <c:v>23591.95</c:v>
                </c:pt>
                <c:pt idx="249">
                  <c:v>23486.85</c:v>
                </c:pt>
                <c:pt idx="250">
                  <c:v>23668.65</c:v>
                </c:pt>
                <c:pt idx="251">
                  <c:v>23658.35</c:v>
                </c:pt>
                <c:pt idx="252">
                  <c:v>23350.400000000001</c:v>
                </c:pt>
                <c:pt idx="253">
                  <c:v>23190.65</c:v>
                </c:pt>
                <c:pt idx="254">
                  <c:v>22907.599999999999</c:v>
                </c:pt>
                <c:pt idx="255">
                  <c:v>22834.3</c:v>
                </c:pt>
                <c:pt idx="256">
                  <c:v>22508.75</c:v>
                </c:pt>
                <c:pt idx="257">
                  <c:v>22397.200000000001</c:v>
                </c:pt>
                <c:pt idx="258">
                  <c:v>22470.5</c:v>
                </c:pt>
                <c:pt idx="259">
                  <c:v>22497.9</c:v>
                </c:pt>
                <c:pt idx="260">
                  <c:v>22460.3</c:v>
                </c:pt>
                <c:pt idx="261">
                  <c:v>22552.5</c:v>
                </c:pt>
                <c:pt idx="262">
                  <c:v>22544.7</c:v>
                </c:pt>
                <c:pt idx="263">
                  <c:v>22337.3</c:v>
                </c:pt>
                <c:pt idx="264">
                  <c:v>22082.65</c:v>
                </c:pt>
                <c:pt idx="265">
                  <c:v>22119.3</c:v>
                </c:pt>
                <c:pt idx="266">
                  <c:v>22124.7</c:v>
                </c:pt>
                <c:pt idx="267">
                  <c:v>22545.05</c:v>
                </c:pt>
                <c:pt idx="268">
                  <c:v>22547.55</c:v>
                </c:pt>
                <c:pt idx="269">
                  <c:v>22553.35</c:v>
                </c:pt>
                <c:pt idx="270">
                  <c:v>22795.9</c:v>
                </c:pt>
                <c:pt idx="271">
                  <c:v>22913.15</c:v>
                </c:pt>
                <c:pt idx="272">
                  <c:v>22932.9</c:v>
                </c:pt>
                <c:pt idx="273">
                  <c:v>22945.3</c:v>
                </c:pt>
                <c:pt idx="274">
                  <c:v>22959.5</c:v>
                </c:pt>
                <c:pt idx="275">
                  <c:v>22929.25</c:v>
                </c:pt>
                <c:pt idx="276">
                  <c:v>23031.4</c:v>
                </c:pt>
                <c:pt idx="277">
                  <c:v>23045.25</c:v>
                </c:pt>
                <c:pt idx="278">
                  <c:v>23071.8</c:v>
                </c:pt>
                <c:pt idx="279">
                  <c:v>23381.599999999999</c:v>
                </c:pt>
                <c:pt idx="280">
                  <c:v>23559.95</c:v>
                </c:pt>
                <c:pt idx="281">
                  <c:v>23603.35</c:v>
                </c:pt>
                <c:pt idx="282">
                  <c:v>23696.3</c:v>
                </c:pt>
                <c:pt idx="283">
                  <c:v>23739.25</c:v>
                </c:pt>
                <c:pt idx="284">
                  <c:v>23361.05</c:v>
                </c:pt>
                <c:pt idx="285">
                  <c:v>23482.15</c:v>
                </c:pt>
                <c:pt idx="286">
                  <c:v>23508.400000000001</c:v>
                </c:pt>
                <c:pt idx="287">
                  <c:v>23249.5</c:v>
                </c:pt>
                <c:pt idx="288">
                  <c:v>23163.1</c:v>
                </c:pt>
                <c:pt idx="289">
                  <c:v>22957.25</c:v>
                </c:pt>
                <c:pt idx="290">
                  <c:v>22829.15</c:v>
                </c:pt>
                <c:pt idx="291">
                  <c:v>23092.2</c:v>
                </c:pt>
                <c:pt idx="292">
                  <c:v>23205.35</c:v>
                </c:pt>
                <c:pt idx="293">
                  <c:v>23155.35</c:v>
                </c:pt>
                <c:pt idx="294">
                  <c:v>23024.65</c:v>
                </c:pt>
                <c:pt idx="295">
                  <c:v>23344.75</c:v>
                </c:pt>
                <c:pt idx="296">
                  <c:v>23203.200000000001</c:v>
                </c:pt>
                <c:pt idx="297">
                  <c:v>23311.8</c:v>
                </c:pt>
                <c:pt idx="298">
                  <c:v>23213.200000000001</c:v>
                </c:pt>
                <c:pt idx="299">
                  <c:v>23176.05</c:v>
                </c:pt>
                <c:pt idx="300">
                  <c:v>23085.95</c:v>
                </c:pt>
                <c:pt idx="301">
                  <c:v>23431.5</c:v>
                </c:pt>
                <c:pt idx="302">
                  <c:v>23526.5</c:v>
                </c:pt>
                <c:pt idx="303">
                  <c:v>23688.95</c:v>
                </c:pt>
                <c:pt idx="304">
                  <c:v>23707.9</c:v>
                </c:pt>
                <c:pt idx="305">
                  <c:v>23616.05</c:v>
                </c:pt>
                <c:pt idx="306">
                  <c:v>24004.75</c:v>
                </c:pt>
                <c:pt idx="307">
                  <c:v>24188.65</c:v>
                </c:pt>
                <c:pt idx="308">
                  <c:v>23742.9</c:v>
                </c:pt>
                <c:pt idx="309">
                  <c:v>23644.799999999999</c:v>
                </c:pt>
                <c:pt idx="310">
                  <c:v>23644.9</c:v>
                </c:pt>
                <c:pt idx="311">
                  <c:v>23813.4</c:v>
                </c:pt>
                <c:pt idx="312">
                  <c:v>23750.2</c:v>
                </c:pt>
                <c:pt idx="313">
                  <c:v>23727.65</c:v>
                </c:pt>
                <c:pt idx="314">
                  <c:v>23753.45</c:v>
                </c:pt>
                <c:pt idx="315">
                  <c:v>23587.5</c:v>
                </c:pt>
                <c:pt idx="316">
                  <c:v>23951.7</c:v>
                </c:pt>
                <c:pt idx="317">
                  <c:v>24198.85</c:v>
                </c:pt>
                <c:pt idx="318">
                  <c:v>24336</c:v>
                </c:pt>
                <c:pt idx="319">
                  <c:v>24668.25</c:v>
                </c:pt>
                <c:pt idx="320">
                  <c:v>24768.3</c:v>
                </c:pt>
                <c:pt idx="321">
                  <c:v>24548.7</c:v>
                </c:pt>
                <c:pt idx="322">
                  <c:v>24641.8</c:v>
                </c:pt>
                <c:pt idx="323">
                  <c:v>24610.05</c:v>
                </c:pt>
                <c:pt idx="324">
                  <c:v>24619</c:v>
                </c:pt>
                <c:pt idx="325">
                  <c:v>24677.8</c:v>
                </c:pt>
                <c:pt idx="326">
                  <c:v>24708.400000000001</c:v>
                </c:pt>
                <c:pt idx="327">
                  <c:v>24467.45</c:v>
                </c:pt>
                <c:pt idx="328">
                  <c:v>24457.15</c:v>
                </c:pt>
                <c:pt idx="329">
                  <c:v>24276.05</c:v>
                </c:pt>
                <c:pt idx="330">
                  <c:v>24131.1</c:v>
                </c:pt>
                <c:pt idx="331">
                  <c:v>23914.15</c:v>
                </c:pt>
                <c:pt idx="332">
                  <c:v>24274.9</c:v>
                </c:pt>
                <c:pt idx="333">
                  <c:v>24194.5</c:v>
                </c:pt>
                <c:pt idx="334">
                  <c:v>24221.9</c:v>
                </c:pt>
                <c:pt idx="335">
                  <c:v>23907.25</c:v>
                </c:pt>
                <c:pt idx="336">
                  <c:v>23349.9</c:v>
                </c:pt>
                <c:pt idx="337">
                  <c:v>23518.5</c:v>
                </c:pt>
                <c:pt idx="338">
                  <c:v>23453.8</c:v>
                </c:pt>
                <c:pt idx="339">
                  <c:v>23532.7</c:v>
                </c:pt>
                <c:pt idx="340">
                  <c:v>23559.05</c:v>
                </c:pt>
                <c:pt idx="341">
                  <c:v>23883.45</c:v>
                </c:pt>
                <c:pt idx="342">
                  <c:v>24141.3</c:v>
                </c:pt>
                <c:pt idx="343">
                  <c:v>24148.2</c:v>
                </c:pt>
                <c:pt idx="344">
                  <c:v>24199.35</c:v>
                </c:pt>
                <c:pt idx="345">
                  <c:v>24484.05</c:v>
                </c:pt>
                <c:pt idx="346">
                  <c:v>24213.3</c:v>
                </c:pt>
                <c:pt idx="347">
                  <c:v>23995.35</c:v>
                </c:pt>
                <c:pt idx="348">
                  <c:v>24304.35</c:v>
                </c:pt>
                <c:pt idx="349">
                  <c:v>24205.35</c:v>
                </c:pt>
                <c:pt idx="350">
                  <c:v>24340.85</c:v>
                </c:pt>
                <c:pt idx="351">
                  <c:v>24466.85</c:v>
                </c:pt>
                <c:pt idx="352">
                  <c:v>24339.15</c:v>
                </c:pt>
                <c:pt idx="353">
                  <c:v>24180.799999999999</c:v>
                </c:pt>
                <c:pt idx="354">
                  <c:v>24399.4</c:v>
                </c:pt>
                <c:pt idx="355">
                  <c:v>24435.5</c:v>
                </c:pt>
                <c:pt idx="356">
                  <c:v>24472.1</c:v>
                </c:pt>
                <c:pt idx="357">
                  <c:v>24781.1</c:v>
                </c:pt>
                <c:pt idx="358">
                  <c:v>24854.05</c:v>
                </c:pt>
                <c:pt idx="359">
                  <c:v>24749.85</c:v>
                </c:pt>
                <c:pt idx="360">
                  <c:v>24971.3</c:v>
                </c:pt>
                <c:pt idx="361">
                  <c:v>25057.35</c:v>
                </c:pt>
                <c:pt idx="362">
                  <c:v>25127.95</c:v>
                </c:pt>
                <c:pt idx="363">
                  <c:v>24964.25</c:v>
                </c:pt>
                <c:pt idx="364">
                  <c:v>24998.45</c:v>
                </c:pt>
                <c:pt idx="365">
                  <c:v>24981.95</c:v>
                </c:pt>
                <c:pt idx="366">
                  <c:v>25013.15</c:v>
                </c:pt>
                <c:pt idx="367">
                  <c:v>24795.75</c:v>
                </c:pt>
                <c:pt idx="368">
                  <c:v>25014.6</c:v>
                </c:pt>
                <c:pt idx="369">
                  <c:v>25250.1</c:v>
                </c:pt>
                <c:pt idx="370">
                  <c:v>25796.9</c:v>
                </c:pt>
                <c:pt idx="371">
                  <c:v>25810.85</c:v>
                </c:pt>
                <c:pt idx="372">
                  <c:v>26178.95</c:v>
                </c:pt>
                <c:pt idx="373">
                  <c:v>26216.05</c:v>
                </c:pt>
                <c:pt idx="374">
                  <c:v>26004.15</c:v>
                </c:pt>
                <c:pt idx="375">
                  <c:v>25940.400000000001</c:v>
                </c:pt>
                <c:pt idx="376">
                  <c:v>25939.05</c:v>
                </c:pt>
                <c:pt idx="377">
                  <c:v>25790.95</c:v>
                </c:pt>
                <c:pt idx="378">
                  <c:v>25415.8</c:v>
                </c:pt>
                <c:pt idx="379">
                  <c:v>25377.55</c:v>
                </c:pt>
                <c:pt idx="380">
                  <c:v>25418.55</c:v>
                </c:pt>
                <c:pt idx="381">
                  <c:v>25383.75</c:v>
                </c:pt>
                <c:pt idx="382">
                  <c:v>25356.5</c:v>
                </c:pt>
                <c:pt idx="383">
                  <c:v>25388.9</c:v>
                </c:pt>
                <c:pt idx="384">
                  <c:v>24918.45</c:v>
                </c:pt>
                <c:pt idx="385">
                  <c:v>25041.1</c:v>
                </c:pt>
                <c:pt idx="386">
                  <c:v>24936.400000000001</c:v>
                </c:pt>
                <c:pt idx="387">
                  <c:v>24852.15</c:v>
                </c:pt>
                <c:pt idx="388">
                  <c:v>25145.1</c:v>
                </c:pt>
                <c:pt idx="389">
                  <c:v>25198.7</c:v>
                </c:pt>
                <c:pt idx="390">
                  <c:v>25279.85</c:v>
                </c:pt>
                <c:pt idx="391">
                  <c:v>25278.7</c:v>
                </c:pt>
                <c:pt idx="392">
                  <c:v>25235.9</c:v>
                </c:pt>
                <c:pt idx="393">
                  <c:v>25151.95</c:v>
                </c:pt>
                <c:pt idx="394">
                  <c:v>25052.35</c:v>
                </c:pt>
                <c:pt idx="395">
                  <c:v>25017.75</c:v>
                </c:pt>
                <c:pt idx="396">
                  <c:v>25010.6</c:v>
                </c:pt>
                <c:pt idx="397">
                  <c:v>24823.15</c:v>
                </c:pt>
                <c:pt idx="398">
                  <c:v>24811.5</c:v>
                </c:pt>
                <c:pt idx="399">
                  <c:v>24770.2</c:v>
                </c:pt>
                <c:pt idx="400">
                  <c:v>24698.85</c:v>
                </c:pt>
                <c:pt idx="401">
                  <c:v>24572.65</c:v>
                </c:pt>
                <c:pt idx="402">
                  <c:v>24541.15</c:v>
                </c:pt>
                <c:pt idx="403">
                  <c:v>24143.75</c:v>
                </c:pt>
                <c:pt idx="404">
                  <c:v>24139</c:v>
                </c:pt>
                <c:pt idx="405">
                  <c:v>24347</c:v>
                </c:pt>
                <c:pt idx="406">
                  <c:v>24367.5</c:v>
                </c:pt>
                <c:pt idx="407">
                  <c:v>24117</c:v>
                </c:pt>
                <c:pt idx="408">
                  <c:v>24297.5</c:v>
                </c:pt>
                <c:pt idx="409">
                  <c:v>23992.55</c:v>
                </c:pt>
                <c:pt idx="410">
                  <c:v>24055.599999999999</c:v>
                </c:pt>
                <c:pt idx="411">
                  <c:v>24717.7</c:v>
                </c:pt>
                <c:pt idx="412">
                  <c:v>25010.9</c:v>
                </c:pt>
                <c:pt idx="413">
                  <c:v>24951.15</c:v>
                </c:pt>
                <c:pt idx="414">
                  <c:v>24857.3</c:v>
                </c:pt>
                <c:pt idx="415">
                  <c:v>24836.1</c:v>
                </c:pt>
                <c:pt idx="416">
                  <c:v>24834.85</c:v>
                </c:pt>
                <c:pt idx="417">
                  <c:v>24406.1</c:v>
                </c:pt>
                <c:pt idx="418">
                  <c:v>24413.5</c:v>
                </c:pt>
                <c:pt idx="419">
                  <c:v>24479.05</c:v>
                </c:pt>
                <c:pt idx="420">
                  <c:v>24509.25</c:v>
                </c:pt>
                <c:pt idx="421">
                  <c:v>24530.9</c:v>
                </c:pt>
                <c:pt idx="422">
                  <c:v>24800.85</c:v>
                </c:pt>
                <c:pt idx="423">
                  <c:v>24613</c:v>
                </c:pt>
                <c:pt idx="424">
                  <c:v>24586.7</c:v>
                </c:pt>
                <c:pt idx="425">
                  <c:v>24502.15</c:v>
                </c:pt>
                <c:pt idx="426">
                  <c:v>24315.95</c:v>
                </c:pt>
                <c:pt idx="427">
                  <c:v>24324.45</c:v>
                </c:pt>
                <c:pt idx="428">
                  <c:v>24433.200000000001</c:v>
                </c:pt>
                <c:pt idx="429">
                  <c:v>24320.55</c:v>
                </c:pt>
                <c:pt idx="430">
                  <c:v>24323.85</c:v>
                </c:pt>
                <c:pt idx="431">
                  <c:v>24302.15</c:v>
                </c:pt>
                <c:pt idx="432">
                  <c:v>24286.5</c:v>
                </c:pt>
                <c:pt idx="433">
                  <c:v>24123.85</c:v>
                </c:pt>
                <c:pt idx="434">
                  <c:v>24141.95</c:v>
                </c:pt>
                <c:pt idx="435">
                  <c:v>24010.6</c:v>
                </c:pt>
                <c:pt idx="436">
                  <c:v>24044.5</c:v>
                </c:pt>
                <c:pt idx="437">
                  <c:v>23868.799999999999</c:v>
                </c:pt>
                <c:pt idx="438">
                  <c:v>23721.3</c:v>
                </c:pt>
                <c:pt idx="439">
                  <c:v>23537.85</c:v>
                </c:pt>
                <c:pt idx="440">
                  <c:v>23501.1</c:v>
                </c:pt>
                <c:pt idx="441">
                  <c:v>23567</c:v>
                </c:pt>
                <c:pt idx="442">
                  <c:v>23516</c:v>
                </c:pt>
                <c:pt idx="443">
                  <c:v>23557.9</c:v>
                </c:pt>
                <c:pt idx="444">
                  <c:v>23465.599999999999</c:v>
                </c:pt>
                <c:pt idx="445">
                  <c:v>23398.9</c:v>
                </c:pt>
                <c:pt idx="446">
                  <c:v>23322.95</c:v>
                </c:pt>
                <c:pt idx="447">
                  <c:v>23264.85</c:v>
                </c:pt>
                <c:pt idx="448">
                  <c:v>23259.200000000001</c:v>
                </c:pt>
                <c:pt idx="449">
                  <c:v>23290.15</c:v>
                </c:pt>
                <c:pt idx="450">
                  <c:v>22821.4</c:v>
                </c:pt>
                <c:pt idx="451">
                  <c:v>22620.35</c:v>
                </c:pt>
                <c:pt idx="452">
                  <c:v>21884.5</c:v>
                </c:pt>
                <c:pt idx="453">
                  <c:v>23263.9</c:v>
                </c:pt>
                <c:pt idx="454">
                  <c:v>22530.7</c:v>
                </c:pt>
                <c:pt idx="455">
                  <c:v>22488.65</c:v>
                </c:pt>
                <c:pt idx="456">
                  <c:v>22704.7</c:v>
                </c:pt>
                <c:pt idx="457">
                  <c:v>22888.15</c:v>
                </c:pt>
                <c:pt idx="458">
                  <c:v>22932.45</c:v>
                </c:pt>
                <c:pt idx="459">
                  <c:v>22957.1</c:v>
                </c:pt>
                <c:pt idx="460">
                  <c:v>22967.65</c:v>
                </c:pt>
                <c:pt idx="461">
                  <c:v>22597.8</c:v>
                </c:pt>
                <c:pt idx="462">
                  <c:v>22529.05</c:v>
                </c:pt>
                <c:pt idx="463">
                  <c:v>22502</c:v>
                </c:pt>
                <c:pt idx="464">
                  <c:v>22466.1</c:v>
                </c:pt>
                <c:pt idx="465">
                  <c:v>22403.85</c:v>
                </c:pt>
                <c:pt idx="466">
                  <c:v>22200.55</c:v>
                </c:pt>
                <c:pt idx="467">
                  <c:v>22217.85</c:v>
                </c:pt>
                <c:pt idx="468">
                  <c:v>22104.05</c:v>
                </c:pt>
                <c:pt idx="469">
                  <c:v>22055.200000000001</c:v>
                </c:pt>
                <c:pt idx="470">
                  <c:v>21957.5</c:v>
                </c:pt>
                <c:pt idx="471">
                  <c:v>22302.5</c:v>
                </c:pt>
                <c:pt idx="472">
                  <c:v>22302.5</c:v>
                </c:pt>
                <c:pt idx="473">
                  <c:v>22442.7</c:v>
                </c:pt>
                <c:pt idx="474">
                  <c:v>22475.85</c:v>
                </c:pt>
                <c:pt idx="475">
                  <c:v>22648.2</c:v>
                </c:pt>
                <c:pt idx="476">
                  <c:v>22604.85</c:v>
                </c:pt>
                <c:pt idx="477">
                  <c:v>22643.4</c:v>
                </c:pt>
                <c:pt idx="478">
                  <c:v>22419.95</c:v>
                </c:pt>
                <c:pt idx="479">
                  <c:v>22570.35</c:v>
                </c:pt>
                <c:pt idx="480">
                  <c:v>22402.400000000001</c:v>
                </c:pt>
                <c:pt idx="481">
                  <c:v>22368</c:v>
                </c:pt>
                <c:pt idx="482">
                  <c:v>22336.400000000001</c:v>
                </c:pt>
                <c:pt idx="483">
                  <c:v>22147</c:v>
                </c:pt>
                <c:pt idx="484">
                  <c:v>21995.85</c:v>
                </c:pt>
                <c:pt idx="485">
                  <c:v>22147.9</c:v>
                </c:pt>
                <c:pt idx="486">
                  <c:v>22272.5</c:v>
                </c:pt>
                <c:pt idx="487">
                  <c:v>22519.4</c:v>
                </c:pt>
                <c:pt idx="488">
                  <c:v>22753.8</c:v>
                </c:pt>
                <c:pt idx="489">
                  <c:v>22642.75</c:v>
                </c:pt>
                <c:pt idx="490">
                  <c:v>22666.3</c:v>
                </c:pt>
                <c:pt idx="491">
                  <c:v>22513.7</c:v>
                </c:pt>
                <c:pt idx="492">
                  <c:v>22514.65</c:v>
                </c:pt>
                <c:pt idx="493">
                  <c:v>22434.65</c:v>
                </c:pt>
                <c:pt idx="494">
                  <c:v>22453.3</c:v>
                </c:pt>
                <c:pt idx="495">
                  <c:v>22462</c:v>
                </c:pt>
                <c:pt idx="496">
                  <c:v>22326.9</c:v>
                </c:pt>
                <c:pt idx="497">
                  <c:v>22123.65</c:v>
                </c:pt>
                <c:pt idx="498">
                  <c:v>22004.7</c:v>
                </c:pt>
                <c:pt idx="499">
                  <c:v>22096.75</c:v>
                </c:pt>
                <c:pt idx="500">
                  <c:v>22011.95</c:v>
                </c:pt>
                <c:pt idx="501">
                  <c:v>21839.1</c:v>
                </c:pt>
                <c:pt idx="502">
                  <c:v>21817.45</c:v>
                </c:pt>
                <c:pt idx="503">
                  <c:v>22055.7</c:v>
                </c:pt>
                <c:pt idx="504">
                  <c:v>22023.35</c:v>
                </c:pt>
                <c:pt idx="505">
                  <c:v>22146.65</c:v>
                </c:pt>
                <c:pt idx="506">
                  <c:v>21997.7</c:v>
                </c:pt>
                <c:pt idx="507">
                  <c:v>22335.7</c:v>
                </c:pt>
                <c:pt idx="508">
                  <c:v>22332.65</c:v>
                </c:pt>
                <c:pt idx="509">
                  <c:v>22493.55</c:v>
                </c:pt>
                <c:pt idx="510">
                  <c:v>22474.05</c:v>
                </c:pt>
                <c:pt idx="511">
                  <c:v>22356.3</c:v>
                </c:pt>
                <c:pt idx="512">
                  <c:v>22405.599999999999</c:v>
                </c:pt>
                <c:pt idx="513">
                  <c:v>22378.400000000001</c:v>
                </c:pt>
                <c:pt idx="514">
                  <c:v>22338.75</c:v>
                </c:pt>
                <c:pt idx="515">
                  <c:v>21982.799999999999</c:v>
                </c:pt>
                <c:pt idx="516">
                  <c:v>21951.15</c:v>
                </c:pt>
                <c:pt idx="517">
                  <c:v>22198.35</c:v>
                </c:pt>
                <c:pt idx="518">
                  <c:v>22122.05</c:v>
                </c:pt>
                <c:pt idx="519">
                  <c:v>22212.7</c:v>
                </c:pt>
                <c:pt idx="520">
                  <c:v>22217.45</c:v>
                </c:pt>
                <c:pt idx="521">
                  <c:v>22055.05</c:v>
                </c:pt>
                <c:pt idx="522">
                  <c:v>22196.95</c:v>
                </c:pt>
                <c:pt idx="523">
                  <c:v>22122.25</c:v>
                </c:pt>
                <c:pt idx="524">
                  <c:v>22040.7</c:v>
                </c:pt>
                <c:pt idx="525">
                  <c:v>21910.75</c:v>
                </c:pt>
                <c:pt idx="526">
                  <c:v>21840.05</c:v>
                </c:pt>
                <c:pt idx="527">
                  <c:v>21743.25</c:v>
                </c:pt>
                <c:pt idx="528">
                  <c:v>21616.05</c:v>
                </c:pt>
                <c:pt idx="529">
                  <c:v>21782.5</c:v>
                </c:pt>
                <c:pt idx="530">
                  <c:v>21717.95</c:v>
                </c:pt>
                <c:pt idx="531">
                  <c:v>21930.5</c:v>
                </c:pt>
                <c:pt idx="532">
                  <c:v>21929.4</c:v>
                </c:pt>
                <c:pt idx="533">
                  <c:v>21771.7</c:v>
                </c:pt>
                <c:pt idx="534">
                  <c:v>21853.8</c:v>
                </c:pt>
                <c:pt idx="535">
                  <c:v>21697.45</c:v>
                </c:pt>
                <c:pt idx="536">
                  <c:v>21725.7</c:v>
                </c:pt>
                <c:pt idx="537">
                  <c:v>21522.1</c:v>
                </c:pt>
                <c:pt idx="538">
                  <c:v>21737.599999999999</c:v>
                </c:pt>
                <c:pt idx="539">
                  <c:v>21352.6</c:v>
                </c:pt>
                <c:pt idx="540">
                  <c:v>21453.95</c:v>
                </c:pt>
                <c:pt idx="541">
                  <c:v>21238.799999999999</c:v>
                </c:pt>
                <c:pt idx="542">
                  <c:v>21571.8</c:v>
                </c:pt>
                <c:pt idx="543">
                  <c:v>21622.400000000001</c:v>
                </c:pt>
                <c:pt idx="544">
                  <c:v>21462.25</c:v>
                </c:pt>
                <c:pt idx="545">
                  <c:v>21571.95</c:v>
                </c:pt>
                <c:pt idx="546">
                  <c:v>22032.3</c:v>
                </c:pt>
                <c:pt idx="547">
                  <c:v>22097.45</c:v>
                </c:pt>
                <c:pt idx="548">
                  <c:v>21894.55</c:v>
                </c:pt>
                <c:pt idx="549">
                  <c:v>21647.200000000001</c:v>
                </c:pt>
                <c:pt idx="550">
                  <c:v>21618.7</c:v>
                </c:pt>
                <c:pt idx="551">
                  <c:v>21544.85</c:v>
                </c:pt>
                <c:pt idx="552">
                  <c:v>21513</c:v>
                </c:pt>
                <c:pt idx="553">
                  <c:v>21710.799999999999</c:v>
                </c:pt>
                <c:pt idx="554">
                  <c:v>21658.6</c:v>
                </c:pt>
                <c:pt idx="555">
                  <c:v>21517.35</c:v>
                </c:pt>
                <c:pt idx="556">
                  <c:v>21665.8</c:v>
                </c:pt>
                <c:pt idx="557">
                  <c:v>21741.9</c:v>
                </c:pt>
                <c:pt idx="558">
                  <c:v>21731.4</c:v>
                </c:pt>
                <c:pt idx="559">
                  <c:v>21778.7</c:v>
                </c:pt>
                <c:pt idx="560">
                  <c:v>21654.75</c:v>
                </c:pt>
                <c:pt idx="561">
                  <c:v>21441.35</c:v>
                </c:pt>
                <c:pt idx="562">
                  <c:v>21349.4</c:v>
                </c:pt>
                <c:pt idx="563">
                  <c:v>21255.05</c:v>
                </c:pt>
                <c:pt idx="564">
                  <c:v>21150.15</c:v>
                </c:pt>
                <c:pt idx="565">
                  <c:v>21453.1</c:v>
                </c:pt>
                <c:pt idx="566">
                  <c:v>21418.65</c:v>
                </c:pt>
                <c:pt idx="567">
                  <c:v>21456.65</c:v>
                </c:pt>
                <c:pt idx="568">
                  <c:v>21182.7</c:v>
                </c:pt>
                <c:pt idx="569">
                  <c:v>20926.349999999999</c:v>
                </c:pt>
                <c:pt idx="570">
                  <c:v>20906.400000000001</c:v>
                </c:pt>
                <c:pt idx="571">
                  <c:v>20997.1</c:v>
                </c:pt>
                <c:pt idx="572">
                  <c:v>20969.400000000001</c:v>
                </c:pt>
                <c:pt idx="573">
                  <c:v>20901.150000000001</c:v>
                </c:pt>
                <c:pt idx="574">
                  <c:v>20937.7</c:v>
                </c:pt>
                <c:pt idx="575">
                  <c:v>20855.099999999999</c:v>
                </c:pt>
                <c:pt idx="576">
                  <c:v>20686.8</c:v>
                </c:pt>
                <c:pt idx="577">
                  <c:v>20267.900000000001</c:v>
                </c:pt>
                <c:pt idx="578">
                  <c:v>20133.150000000001</c:v>
                </c:pt>
                <c:pt idx="579">
                  <c:v>20096.599999999999</c:v>
                </c:pt>
                <c:pt idx="580">
                  <c:v>19889.7</c:v>
                </c:pt>
                <c:pt idx="581">
                  <c:v>19794.7</c:v>
                </c:pt>
                <c:pt idx="582">
                  <c:v>19802</c:v>
                </c:pt>
                <c:pt idx="583">
                  <c:v>19811.849999999999</c:v>
                </c:pt>
                <c:pt idx="584">
                  <c:v>19783.400000000001</c:v>
                </c:pt>
                <c:pt idx="585">
                  <c:v>19694</c:v>
                </c:pt>
                <c:pt idx="586">
                  <c:v>19731.8</c:v>
                </c:pt>
                <c:pt idx="587">
                  <c:v>19765.2</c:v>
                </c:pt>
                <c:pt idx="588">
                  <c:v>19675.45</c:v>
                </c:pt>
                <c:pt idx="589">
                  <c:v>19443.55</c:v>
                </c:pt>
                <c:pt idx="590">
                  <c:v>19525.55</c:v>
                </c:pt>
                <c:pt idx="591">
                  <c:v>19425.349999999999</c:v>
                </c:pt>
                <c:pt idx="592">
                  <c:v>19395.3</c:v>
                </c:pt>
                <c:pt idx="593">
                  <c:v>19443.5</c:v>
                </c:pt>
                <c:pt idx="594">
                  <c:v>19406.7</c:v>
                </c:pt>
                <c:pt idx="595">
                  <c:v>19411.75</c:v>
                </c:pt>
                <c:pt idx="596">
                  <c:v>19230.599999999999</c:v>
                </c:pt>
                <c:pt idx="597">
                  <c:v>19133.25</c:v>
                </c:pt>
                <c:pt idx="598">
                  <c:v>18989.150000000001</c:v>
                </c:pt>
                <c:pt idx="599">
                  <c:v>19079.599999999999</c:v>
                </c:pt>
                <c:pt idx="600">
                  <c:v>19140.900000000001</c:v>
                </c:pt>
                <c:pt idx="601">
                  <c:v>19047.25</c:v>
                </c:pt>
                <c:pt idx="602">
                  <c:v>18857.25</c:v>
                </c:pt>
                <c:pt idx="603">
                  <c:v>19122.150000000001</c:v>
                </c:pt>
                <c:pt idx="604">
                  <c:v>19281.75</c:v>
                </c:pt>
                <c:pt idx="605">
                  <c:v>19542.650000000001</c:v>
                </c:pt>
                <c:pt idx="606">
                  <c:v>19624.7</c:v>
                </c:pt>
                <c:pt idx="607">
                  <c:v>19671.099999999999</c:v>
                </c:pt>
                <c:pt idx="608">
                  <c:v>19811.5</c:v>
                </c:pt>
                <c:pt idx="609">
                  <c:v>19731.75</c:v>
                </c:pt>
                <c:pt idx="610">
                  <c:v>19751.05</c:v>
                </c:pt>
                <c:pt idx="611">
                  <c:v>19794</c:v>
                </c:pt>
                <c:pt idx="612">
                  <c:v>19811.349999999999</c:v>
                </c:pt>
                <c:pt idx="613">
                  <c:v>19689.849999999999</c:v>
                </c:pt>
                <c:pt idx="614">
                  <c:v>19512.349999999999</c:v>
                </c:pt>
                <c:pt idx="615">
                  <c:v>19653.5</c:v>
                </c:pt>
                <c:pt idx="616">
                  <c:v>19545.75</c:v>
                </c:pt>
                <c:pt idx="617">
                  <c:v>19436.099999999999</c:v>
                </c:pt>
                <c:pt idx="618">
                  <c:v>19528.75</c:v>
                </c:pt>
                <c:pt idx="619">
                  <c:v>19638.3</c:v>
                </c:pt>
                <c:pt idx="620">
                  <c:v>19523.55</c:v>
                </c:pt>
                <c:pt idx="621">
                  <c:v>19716.45</c:v>
                </c:pt>
                <c:pt idx="622">
                  <c:v>19664.7</c:v>
                </c:pt>
                <c:pt idx="623">
                  <c:v>19674.55</c:v>
                </c:pt>
                <c:pt idx="624">
                  <c:v>19674.25</c:v>
                </c:pt>
                <c:pt idx="625">
                  <c:v>19742.349999999999</c:v>
                </c:pt>
                <c:pt idx="626">
                  <c:v>19901.400000000001</c:v>
                </c:pt>
                <c:pt idx="627">
                  <c:v>20133.3</c:v>
                </c:pt>
                <c:pt idx="628">
                  <c:v>20192.349999999999</c:v>
                </c:pt>
                <c:pt idx="629">
                  <c:v>20103.099999999999</c:v>
                </c:pt>
                <c:pt idx="630">
                  <c:v>20070</c:v>
                </c:pt>
                <c:pt idx="631">
                  <c:v>19993.2</c:v>
                </c:pt>
                <c:pt idx="632">
                  <c:v>19996.349999999999</c:v>
                </c:pt>
                <c:pt idx="633">
                  <c:v>19819.95</c:v>
                </c:pt>
                <c:pt idx="634">
                  <c:v>19727.05</c:v>
                </c:pt>
                <c:pt idx="635">
                  <c:v>19611.05</c:v>
                </c:pt>
                <c:pt idx="636">
                  <c:v>19574.900000000001</c:v>
                </c:pt>
                <c:pt idx="637">
                  <c:v>19528.8</c:v>
                </c:pt>
                <c:pt idx="638">
                  <c:v>19435.3</c:v>
                </c:pt>
                <c:pt idx="639">
                  <c:v>19253.8</c:v>
                </c:pt>
                <c:pt idx="640">
                  <c:v>19347.45</c:v>
                </c:pt>
                <c:pt idx="641">
                  <c:v>19342.650000000001</c:v>
                </c:pt>
                <c:pt idx="642">
                  <c:v>19306.05</c:v>
                </c:pt>
                <c:pt idx="643">
                  <c:v>19265.8</c:v>
                </c:pt>
                <c:pt idx="644">
                  <c:v>19386.7</c:v>
                </c:pt>
                <c:pt idx="645">
                  <c:v>19444</c:v>
                </c:pt>
                <c:pt idx="646">
                  <c:v>19396.45</c:v>
                </c:pt>
                <c:pt idx="647">
                  <c:v>19393.599999999999</c:v>
                </c:pt>
                <c:pt idx="648">
                  <c:v>19310.150000000001</c:v>
                </c:pt>
                <c:pt idx="649">
                  <c:v>19365.25</c:v>
                </c:pt>
                <c:pt idx="650">
                  <c:v>19465</c:v>
                </c:pt>
                <c:pt idx="651">
                  <c:v>19434.55</c:v>
                </c:pt>
                <c:pt idx="652">
                  <c:v>19428.3</c:v>
                </c:pt>
                <c:pt idx="653">
                  <c:v>19543.099999999999</c:v>
                </c:pt>
                <c:pt idx="654">
                  <c:v>19632.55</c:v>
                </c:pt>
                <c:pt idx="655">
                  <c:v>19570.849999999999</c:v>
                </c:pt>
                <c:pt idx="656">
                  <c:v>19597.3</c:v>
                </c:pt>
                <c:pt idx="657">
                  <c:v>19517</c:v>
                </c:pt>
                <c:pt idx="658">
                  <c:v>19381.650000000001</c:v>
                </c:pt>
                <c:pt idx="659">
                  <c:v>19526.55</c:v>
                </c:pt>
                <c:pt idx="660">
                  <c:v>19733.55</c:v>
                </c:pt>
                <c:pt idx="661">
                  <c:v>19753.8</c:v>
                </c:pt>
                <c:pt idx="662">
                  <c:v>19646.05</c:v>
                </c:pt>
                <c:pt idx="663">
                  <c:v>19659.900000000001</c:v>
                </c:pt>
                <c:pt idx="664">
                  <c:v>19778.3</c:v>
                </c:pt>
                <c:pt idx="665">
                  <c:v>19680.599999999999</c:v>
                </c:pt>
                <c:pt idx="666">
                  <c:v>19672.349999999999</c:v>
                </c:pt>
                <c:pt idx="667">
                  <c:v>19745</c:v>
                </c:pt>
                <c:pt idx="668">
                  <c:v>19979.150000000001</c:v>
                </c:pt>
                <c:pt idx="669">
                  <c:v>19833.150000000001</c:v>
                </c:pt>
                <c:pt idx="670">
                  <c:v>19749.25</c:v>
                </c:pt>
                <c:pt idx="671">
                  <c:v>19711.45</c:v>
                </c:pt>
                <c:pt idx="672">
                  <c:v>19564.5</c:v>
                </c:pt>
                <c:pt idx="673">
                  <c:v>19413.75</c:v>
                </c:pt>
                <c:pt idx="674">
                  <c:v>19384.3</c:v>
                </c:pt>
                <c:pt idx="675">
                  <c:v>19439.400000000001</c:v>
                </c:pt>
                <c:pt idx="676">
                  <c:v>19355.900000000001</c:v>
                </c:pt>
                <c:pt idx="677">
                  <c:v>19331.8</c:v>
                </c:pt>
                <c:pt idx="678">
                  <c:v>19497.3</c:v>
                </c:pt>
                <c:pt idx="679">
                  <c:v>19398.5</c:v>
                </c:pt>
                <c:pt idx="680">
                  <c:v>19389</c:v>
                </c:pt>
                <c:pt idx="681">
                  <c:v>19322.55</c:v>
                </c:pt>
                <c:pt idx="682">
                  <c:v>19189.05</c:v>
                </c:pt>
                <c:pt idx="683">
                  <c:v>18972.099999999999</c:v>
                </c:pt>
                <c:pt idx="684">
                  <c:v>18817.400000000001</c:v>
                </c:pt>
                <c:pt idx="685">
                  <c:v>18691.2</c:v>
                </c:pt>
                <c:pt idx="686">
                  <c:v>18665.5</c:v>
                </c:pt>
                <c:pt idx="687">
                  <c:v>18771.25</c:v>
                </c:pt>
                <c:pt idx="688">
                  <c:v>18856.849999999999</c:v>
                </c:pt>
                <c:pt idx="689">
                  <c:v>18816.7</c:v>
                </c:pt>
                <c:pt idx="690">
                  <c:v>18755.45</c:v>
                </c:pt>
                <c:pt idx="691">
                  <c:v>18826</c:v>
                </c:pt>
                <c:pt idx="692">
                  <c:v>18688.099999999999</c:v>
                </c:pt>
                <c:pt idx="693">
                  <c:v>18755.900000000001</c:v>
                </c:pt>
                <c:pt idx="694">
                  <c:v>18716.150000000001</c:v>
                </c:pt>
                <c:pt idx="695">
                  <c:v>18601.5</c:v>
                </c:pt>
                <c:pt idx="696">
                  <c:v>18563.400000000001</c:v>
                </c:pt>
                <c:pt idx="697">
                  <c:v>18634.55</c:v>
                </c:pt>
                <c:pt idx="698">
                  <c:v>18726.400000000001</c:v>
                </c:pt>
                <c:pt idx="699">
                  <c:v>18599</c:v>
                </c:pt>
                <c:pt idx="700">
                  <c:v>18593.849999999999</c:v>
                </c:pt>
                <c:pt idx="701">
                  <c:v>18534.099999999999</c:v>
                </c:pt>
                <c:pt idx="702">
                  <c:v>18487.75</c:v>
                </c:pt>
                <c:pt idx="703">
                  <c:v>18534.400000000001</c:v>
                </c:pt>
                <c:pt idx="704">
                  <c:v>18633.849999999999</c:v>
                </c:pt>
                <c:pt idx="705">
                  <c:v>18598.650000000001</c:v>
                </c:pt>
                <c:pt idx="706">
                  <c:v>18499.349999999999</c:v>
                </c:pt>
                <c:pt idx="707">
                  <c:v>18321.150000000001</c:v>
                </c:pt>
                <c:pt idx="708">
                  <c:v>18285.400000000001</c:v>
                </c:pt>
                <c:pt idx="709">
                  <c:v>18348</c:v>
                </c:pt>
                <c:pt idx="710">
                  <c:v>18314.400000000001</c:v>
                </c:pt>
                <c:pt idx="711">
                  <c:v>18203.400000000001</c:v>
                </c:pt>
                <c:pt idx="712">
                  <c:v>18129.95</c:v>
                </c:pt>
                <c:pt idx="713">
                  <c:v>18181.75</c:v>
                </c:pt>
                <c:pt idx="714">
                  <c:v>18286.5</c:v>
                </c:pt>
                <c:pt idx="715">
                  <c:v>18398.849999999999</c:v>
                </c:pt>
                <c:pt idx="716">
                  <c:v>18314.8</c:v>
                </c:pt>
                <c:pt idx="717">
                  <c:v>18297</c:v>
                </c:pt>
                <c:pt idx="718">
                  <c:v>18315.099999999999</c:v>
                </c:pt>
                <c:pt idx="719">
                  <c:v>18265.95</c:v>
                </c:pt>
                <c:pt idx="720">
                  <c:v>18264.400000000001</c:v>
                </c:pt>
                <c:pt idx="721">
                  <c:v>18069</c:v>
                </c:pt>
                <c:pt idx="722">
                  <c:v>18255.8</c:v>
                </c:pt>
                <c:pt idx="723">
                  <c:v>18089.849999999999</c:v>
                </c:pt>
                <c:pt idx="724">
                  <c:v>18147.650000000001</c:v>
                </c:pt>
                <c:pt idx="725">
                  <c:v>18065</c:v>
                </c:pt>
                <c:pt idx="726">
                  <c:v>17915.05</c:v>
                </c:pt>
                <c:pt idx="727">
                  <c:v>17813.599999999999</c:v>
                </c:pt>
                <c:pt idx="728">
                  <c:v>17769.25</c:v>
                </c:pt>
                <c:pt idx="729">
                  <c:v>17743.400000000001</c:v>
                </c:pt>
                <c:pt idx="730">
                  <c:v>17624.05</c:v>
                </c:pt>
                <c:pt idx="731">
                  <c:v>17624.45</c:v>
                </c:pt>
                <c:pt idx="732">
                  <c:v>17618.75</c:v>
                </c:pt>
                <c:pt idx="733">
                  <c:v>17660.150000000001</c:v>
                </c:pt>
                <c:pt idx="734">
                  <c:v>17706.849999999999</c:v>
                </c:pt>
                <c:pt idx="735">
                  <c:v>17828</c:v>
                </c:pt>
                <c:pt idx="736">
                  <c:v>17812.400000000001</c:v>
                </c:pt>
                <c:pt idx="737">
                  <c:v>17722.3</c:v>
                </c:pt>
                <c:pt idx="738">
                  <c:v>17624.05</c:v>
                </c:pt>
                <c:pt idx="739">
                  <c:v>17599.150000000001</c:v>
                </c:pt>
                <c:pt idx="740">
                  <c:v>17557.05</c:v>
                </c:pt>
                <c:pt idx="741">
                  <c:v>17398.05</c:v>
                </c:pt>
                <c:pt idx="742">
                  <c:v>17359.75</c:v>
                </c:pt>
                <c:pt idx="743">
                  <c:v>17080.7</c:v>
                </c:pt>
                <c:pt idx="744">
                  <c:v>16951.7</c:v>
                </c:pt>
                <c:pt idx="745">
                  <c:v>16985.7</c:v>
                </c:pt>
                <c:pt idx="746">
                  <c:v>16945.05</c:v>
                </c:pt>
                <c:pt idx="747">
                  <c:v>17076.900000000001</c:v>
                </c:pt>
                <c:pt idx="748">
                  <c:v>17151.900000000001</c:v>
                </c:pt>
                <c:pt idx="749">
                  <c:v>17107.5</c:v>
                </c:pt>
                <c:pt idx="750">
                  <c:v>16988.400000000001</c:v>
                </c:pt>
                <c:pt idx="751">
                  <c:v>17100.05</c:v>
                </c:pt>
                <c:pt idx="752">
                  <c:v>16985.599999999999</c:v>
                </c:pt>
                <c:pt idx="753">
                  <c:v>16972.150000000001</c:v>
                </c:pt>
                <c:pt idx="754">
                  <c:v>17043.3</c:v>
                </c:pt>
                <c:pt idx="755">
                  <c:v>17154.3</c:v>
                </c:pt>
                <c:pt idx="756">
                  <c:v>17412.900000000001</c:v>
                </c:pt>
                <c:pt idx="757">
                  <c:v>17589.599999999999</c:v>
                </c:pt>
                <c:pt idx="758">
                  <c:v>17754.400000000001</c:v>
                </c:pt>
                <c:pt idx="759">
                  <c:v>17711.45</c:v>
                </c:pt>
                <c:pt idx="760">
                  <c:v>17594.349999999999</c:v>
                </c:pt>
                <c:pt idx="761">
                  <c:v>17321.900000000001</c:v>
                </c:pt>
                <c:pt idx="762">
                  <c:v>17450.900000000001</c:v>
                </c:pt>
                <c:pt idx="763">
                  <c:v>17303.95</c:v>
                </c:pt>
                <c:pt idx="764">
                  <c:v>17392.7</c:v>
                </c:pt>
                <c:pt idx="765">
                  <c:v>17465.8</c:v>
                </c:pt>
                <c:pt idx="766">
                  <c:v>17511.25</c:v>
                </c:pt>
                <c:pt idx="767">
                  <c:v>17554.3</c:v>
                </c:pt>
                <c:pt idx="768">
                  <c:v>17826.7</c:v>
                </c:pt>
                <c:pt idx="769">
                  <c:v>17844.599999999999</c:v>
                </c:pt>
                <c:pt idx="770">
                  <c:v>17944.2</c:v>
                </c:pt>
                <c:pt idx="771">
                  <c:v>18035.849999999999</c:v>
                </c:pt>
                <c:pt idx="772">
                  <c:v>18015.849999999999</c:v>
                </c:pt>
                <c:pt idx="773">
                  <c:v>17929.849999999999</c:v>
                </c:pt>
                <c:pt idx="774">
                  <c:v>17770.900000000001</c:v>
                </c:pt>
                <c:pt idx="775">
                  <c:v>17856.5</c:v>
                </c:pt>
                <c:pt idx="776">
                  <c:v>17893.45</c:v>
                </c:pt>
                <c:pt idx="777">
                  <c:v>17871.7</c:v>
                </c:pt>
                <c:pt idx="778">
                  <c:v>17721.5</c:v>
                </c:pt>
                <c:pt idx="779">
                  <c:v>17764.599999999999</c:v>
                </c:pt>
                <c:pt idx="780">
                  <c:v>17854.05</c:v>
                </c:pt>
                <c:pt idx="781">
                  <c:v>17610.400000000001</c:v>
                </c:pt>
                <c:pt idx="782">
                  <c:v>17616.3</c:v>
                </c:pt>
                <c:pt idx="783">
                  <c:v>17662.150000000001</c:v>
                </c:pt>
                <c:pt idx="784">
                  <c:v>17648.95</c:v>
                </c:pt>
                <c:pt idx="785">
                  <c:v>17604.349999999999</c:v>
                </c:pt>
                <c:pt idx="786">
                  <c:v>17891.95</c:v>
                </c:pt>
                <c:pt idx="787">
                  <c:v>18118.3</c:v>
                </c:pt>
                <c:pt idx="788">
                  <c:v>18118.55</c:v>
                </c:pt>
                <c:pt idx="789">
                  <c:v>18027.650000000001</c:v>
                </c:pt>
                <c:pt idx="790">
                  <c:v>18107.849999999999</c:v>
                </c:pt>
                <c:pt idx="791">
                  <c:v>18165.349999999999</c:v>
                </c:pt>
                <c:pt idx="792">
                  <c:v>18053.3</c:v>
                </c:pt>
                <c:pt idx="793">
                  <c:v>17894.849999999999</c:v>
                </c:pt>
                <c:pt idx="794">
                  <c:v>17956.599999999999</c:v>
                </c:pt>
                <c:pt idx="795">
                  <c:v>17858.2</c:v>
                </c:pt>
                <c:pt idx="796">
                  <c:v>17895.7</c:v>
                </c:pt>
                <c:pt idx="797">
                  <c:v>17914.150000000001</c:v>
                </c:pt>
                <c:pt idx="798">
                  <c:v>18101.2</c:v>
                </c:pt>
                <c:pt idx="799">
                  <c:v>17859.45</c:v>
                </c:pt>
                <c:pt idx="800">
                  <c:v>17992.150000000001</c:v>
                </c:pt>
                <c:pt idx="801">
                  <c:v>18042.95</c:v>
                </c:pt>
                <c:pt idx="802">
                  <c:v>18232.55</c:v>
                </c:pt>
                <c:pt idx="803">
                  <c:v>18197.45</c:v>
                </c:pt>
                <c:pt idx="804">
                  <c:v>18105.3</c:v>
                </c:pt>
                <c:pt idx="805">
                  <c:v>18191</c:v>
                </c:pt>
                <c:pt idx="806">
                  <c:v>18122.5</c:v>
                </c:pt>
                <c:pt idx="807">
                  <c:v>18132.3</c:v>
                </c:pt>
                <c:pt idx="808">
                  <c:v>18014.599999999999</c:v>
                </c:pt>
                <c:pt idx="809">
                  <c:v>17806.8</c:v>
                </c:pt>
                <c:pt idx="810">
                  <c:v>18127.349999999999</c:v>
                </c:pt>
                <c:pt idx="811">
                  <c:v>18199.099999999999</c:v>
                </c:pt>
                <c:pt idx="812">
                  <c:v>18385.3</c:v>
                </c:pt>
                <c:pt idx="813">
                  <c:v>18420.45</c:v>
                </c:pt>
                <c:pt idx="814">
                  <c:v>18269</c:v>
                </c:pt>
                <c:pt idx="815">
                  <c:v>18414.900000000001</c:v>
                </c:pt>
                <c:pt idx="816">
                  <c:v>18660.3</c:v>
                </c:pt>
                <c:pt idx="817">
                  <c:v>18608</c:v>
                </c:pt>
                <c:pt idx="818">
                  <c:v>18497.150000000001</c:v>
                </c:pt>
                <c:pt idx="819">
                  <c:v>18496.599999999999</c:v>
                </c:pt>
                <c:pt idx="820">
                  <c:v>18609.349999999999</c:v>
                </c:pt>
                <c:pt idx="821">
                  <c:v>18560.5</c:v>
                </c:pt>
                <c:pt idx="822">
                  <c:v>18642.75</c:v>
                </c:pt>
                <c:pt idx="823">
                  <c:v>18701.05</c:v>
                </c:pt>
                <c:pt idx="824">
                  <c:v>18696.099999999999</c:v>
                </c:pt>
                <c:pt idx="825">
                  <c:v>18812.5</c:v>
                </c:pt>
                <c:pt idx="826">
                  <c:v>18758.349999999999</c:v>
                </c:pt>
                <c:pt idx="827">
                  <c:v>18618.05</c:v>
                </c:pt>
                <c:pt idx="828">
                  <c:v>18562.75</c:v>
                </c:pt>
                <c:pt idx="829">
                  <c:v>18512.75</c:v>
                </c:pt>
                <c:pt idx="830">
                  <c:v>18484.099999999999</c:v>
                </c:pt>
                <c:pt idx="831">
                  <c:v>18267.25</c:v>
                </c:pt>
                <c:pt idx="832">
                  <c:v>18244.2</c:v>
                </c:pt>
                <c:pt idx="833">
                  <c:v>18159.95</c:v>
                </c:pt>
                <c:pt idx="834">
                  <c:v>18307.650000000001</c:v>
                </c:pt>
                <c:pt idx="835">
                  <c:v>18343.900000000001</c:v>
                </c:pt>
                <c:pt idx="836">
                  <c:v>18409.650000000001</c:v>
                </c:pt>
                <c:pt idx="837">
                  <c:v>18403.400000000001</c:v>
                </c:pt>
                <c:pt idx="838">
                  <c:v>18329.150000000001</c:v>
                </c:pt>
                <c:pt idx="839">
                  <c:v>18349.7</c:v>
                </c:pt>
                <c:pt idx="840">
                  <c:v>18028.2</c:v>
                </c:pt>
                <c:pt idx="841">
                  <c:v>18157</c:v>
                </c:pt>
                <c:pt idx="842">
                  <c:v>18202.8</c:v>
                </c:pt>
                <c:pt idx="843">
                  <c:v>18117.150000000001</c:v>
                </c:pt>
                <c:pt idx="844">
                  <c:v>18052.7</c:v>
                </c:pt>
                <c:pt idx="845">
                  <c:v>18082.849999999999</c:v>
                </c:pt>
                <c:pt idx="846">
                  <c:v>18145.400000000001</c:v>
                </c:pt>
                <c:pt idx="847">
                  <c:v>18012.2</c:v>
                </c:pt>
                <c:pt idx="848">
                  <c:v>17786.8</c:v>
                </c:pt>
                <c:pt idx="849">
                  <c:v>17736.95</c:v>
                </c:pt>
                <c:pt idx="850">
                  <c:v>17656.349999999999</c:v>
                </c:pt>
                <c:pt idx="851">
                  <c:v>17730.75</c:v>
                </c:pt>
                <c:pt idx="852">
                  <c:v>17576.3</c:v>
                </c:pt>
                <c:pt idx="853">
                  <c:v>17563.95</c:v>
                </c:pt>
                <c:pt idx="854">
                  <c:v>17512.25</c:v>
                </c:pt>
                <c:pt idx="855">
                  <c:v>17486.95</c:v>
                </c:pt>
                <c:pt idx="856">
                  <c:v>17311.8</c:v>
                </c:pt>
                <c:pt idx="857">
                  <c:v>17185.7</c:v>
                </c:pt>
                <c:pt idx="858">
                  <c:v>17014.349999999999</c:v>
                </c:pt>
                <c:pt idx="859">
                  <c:v>17123.599999999999</c:v>
                </c:pt>
                <c:pt idx="860">
                  <c:v>16983.55</c:v>
                </c:pt>
                <c:pt idx="861">
                  <c:v>17241</c:v>
                </c:pt>
                <c:pt idx="862">
                  <c:v>17314.650000000001</c:v>
                </c:pt>
                <c:pt idx="863">
                  <c:v>17331.8</c:v>
                </c:pt>
                <c:pt idx="864">
                  <c:v>17274.3</c:v>
                </c:pt>
                <c:pt idx="865">
                  <c:v>16887.349999999999</c:v>
                </c:pt>
                <c:pt idx="866">
                  <c:v>17094.349999999999</c:v>
                </c:pt>
                <c:pt idx="867">
                  <c:v>16818.099999999999</c:v>
                </c:pt>
                <c:pt idx="868">
                  <c:v>16858.599999999999</c:v>
                </c:pt>
                <c:pt idx="869">
                  <c:v>17007.400000000001</c:v>
                </c:pt>
                <c:pt idx="870">
                  <c:v>17016.3</c:v>
                </c:pt>
                <c:pt idx="871">
                  <c:v>17327.349999999999</c:v>
                </c:pt>
                <c:pt idx="872">
                  <c:v>17629.8</c:v>
                </c:pt>
                <c:pt idx="873">
                  <c:v>17718.349999999999</c:v>
                </c:pt>
                <c:pt idx="874">
                  <c:v>17816.25</c:v>
                </c:pt>
                <c:pt idx="875">
                  <c:v>17622.25</c:v>
                </c:pt>
                <c:pt idx="876">
                  <c:v>17530.849999999999</c:v>
                </c:pt>
                <c:pt idx="877">
                  <c:v>17877.400000000001</c:v>
                </c:pt>
                <c:pt idx="878">
                  <c:v>18003.75</c:v>
                </c:pt>
                <c:pt idx="879">
                  <c:v>18070.05</c:v>
                </c:pt>
                <c:pt idx="880">
                  <c:v>17936.349999999999</c:v>
                </c:pt>
                <c:pt idx="881">
                  <c:v>17833.349999999999</c:v>
                </c:pt>
                <c:pt idx="882">
                  <c:v>17798.75</c:v>
                </c:pt>
                <c:pt idx="883">
                  <c:v>17624.400000000001</c:v>
                </c:pt>
                <c:pt idx="884">
                  <c:v>17655.599999999999</c:v>
                </c:pt>
                <c:pt idx="885">
                  <c:v>17665.8</c:v>
                </c:pt>
                <c:pt idx="886">
                  <c:v>17539.45</c:v>
                </c:pt>
                <c:pt idx="887">
                  <c:v>17542.8</c:v>
                </c:pt>
                <c:pt idx="888">
                  <c:v>17759.3</c:v>
                </c:pt>
                <c:pt idx="889">
                  <c:v>17312.900000000001</c:v>
                </c:pt>
                <c:pt idx="890">
                  <c:v>17558.900000000001</c:v>
                </c:pt>
                <c:pt idx="891">
                  <c:v>17522.45</c:v>
                </c:pt>
                <c:pt idx="892">
                  <c:v>17604.95</c:v>
                </c:pt>
                <c:pt idx="893">
                  <c:v>17577.5</c:v>
                </c:pt>
                <c:pt idx="894">
                  <c:v>17490.7</c:v>
                </c:pt>
                <c:pt idx="895">
                  <c:v>17758.45</c:v>
                </c:pt>
                <c:pt idx="896">
                  <c:v>17956.5</c:v>
                </c:pt>
                <c:pt idx="897">
                  <c:v>17944.25</c:v>
                </c:pt>
                <c:pt idx="898">
                  <c:v>17825.25</c:v>
                </c:pt>
                <c:pt idx="899">
                  <c:v>17698.150000000001</c:v>
                </c:pt>
                <c:pt idx="900">
                  <c:v>17659</c:v>
                </c:pt>
                <c:pt idx="901">
                  <c:v>17534.75</c:v>
                </c:pt>
                <c:pt idx="902">
                  <c:v>17525.099999999999</c:v>
                </c:pt>
                <c:pt idx="903">
                  <c:v>17397.5</c:v>
                </c:pt>
                <c:pt idx="904">
                  <c:v>17382</c:v>
                </c:pt>
                <c:pt idx="905">
                  <c:v>17388.150000000001</c:v>
                </c:pt>
                <c:pt idx="906">
                  <c:v>17345.45</c:v>
                </c:pt>
                <c:pt idx="907">
                  <c:v>17340.05</c:v>
                </c:pt>
                <c:pt idx="908">
                  <c:v>17158.25</c:v>
                </c:pt>
                <c:pt idx="909">
                  <c:v>16929.599999999999</c:v>
                </c:pt>
                <c:pt idx="910">
                  <c:v>16641.8</c:v>
                </c:pt>
                <c:pt idx="911">
                  <c:v>16483.849999999999</c:v>
                </c:pt>
                <c:pt idx="912">
                  <c:v>16631</c:v>
                </c:pt>
                <c:pt idx="913">
                  <c:v>16719.45</c:v>
                </c:pt>
                <c:pt idx="914">
                  <c:v>16605.25</c:v>
                </c:pt>
                <c:pt idx="915">
                  <c:v>16520.849999999999</c:v>
                </c:pt>
                <c:pt idx="916">
                  <c:v>16340.55</c:v>
                </c:pt>
                <c:pt idx="917">
                  <c:v>16278.5</c:v>
                </c:pt>
                <c:pt idx="918">
                  <c:v>16049.2</c:v>
                </c:pt>
                <c:pt idx="919">
                  <c:v>15938.65</c:v>
                </c:pt>
                <c:pt idx="920">
                  <c:v>15966.65</c:v>
                </c:pt>
                <c:pt idx="921">
                  <c:v>16058.3</c:v>
                </c:pt>
                <c:pt idx="922">
                  <c:v>16216</c:v>
                </c:pt>
                <c:pt idx="923">
                  <c:v>16220.6</c:v>
                </c:pt>
                <c:pt idx="924">
                  <c:v>16132.9</c:v>
                </c:pt>
                <c:pt idx="925">
                  <c:v>15989.8</c:v>
                </c:pt>
                <c:pt idx="926">
                  <c:v>15810.85</c:v>
                </c:pt>
                <c:pt idx="927">
                  <c:v>15835.35</c:v>
                </c:pt>
                <c:pt idx="928">
                  <c:v>15752.05</c:v>
                </c:pt>
                <c:pt idx="929">
                  <c:v>15780.25</c:v>
                </c:pt>
                <c:pt idx="930">
                  <c:v>15799.1</c:v>
                </c:pt>
                <c:pt idx="931">
                  <c:v>15850.2</c:v>
                </c:pt>
                <c:pt idx="932">
                  <c:v>15832.05</c:v>
                </c:pt>
                <c:pt idx="933">
                  <c:v>15699.25</c:v>
                </c:pt>
                <c:pt idx="934">
                  <c:v>15556.65</c:v>
                </c:pt>
                <c:pt idx="935">
                  <c:v>15413.3</c:v>
                </c:pt>
                <c:pt idx="936">
                  <c:v>15638.8</c:v>
                </c:pt>
                <c:pt idx="937">
                  <c:v>15350.15</c:v>
                </c:pt>
                <c:pt idx="938">
                  <c:v>15293.5</c:v>
                </c:pt>
                <c:pt idx="939">
                  <c:v>15360.6</c:v>
                </c:pt>
                <c:pt idx="940">
                  <c:v>15692.15</c:v>
                </c:pt>
                <c:pt idx="941">
                  <c:v>15732.1</c:v>
                </c:pt>
                <c:pt idx="942">
                  <c:v>15774.4</c:v>
                </c:pt>
                <c:pt idx="943">
                  <c:v>16201.8</c:v>
                </c:pt>
                <c:pt idx="944">
                  <c:v>16478.099999999999</c:v>
                </c:pt>
                <c:pt idx="945">
                  <c:v>16356.25</c:v>
                </c:pt>
                <c:pt idx="946">
                  <c:v>16416.349999999999</c:v>
                </c:pt>
                <c:pt idx="947">
                  <c:v>16569.55</c:v>
                </c:pt>
                <c:pt idx="948">
                  <c:v>16584.3</c:v>
                </c:pt>
                <c:pt idx="949">
                  <c:v>16628</c:v>
                </c:pt>
                <c:pt idx="950">
                  <c:v>16522.75</c:v>
                </c:pt>
                <c:pt idx="951">
                  <c:v>16584.55</c:v>
                </c:pt>
                <c:pt idx="952">
                  <c:v>16661.400000000001</c:v>
                </c:pt>
                <c:pt idx="953">
                  <c:v>16352.45</c:v>
                </c:pt>
                <c:pt idx="954">
                  <c:v>16170.15</c:v>
                </c:pt>
                <c:pt idx="955">
                  <c:v>16025.8</c:v>
                </c:pt>
                <c:pt idx="956">
                  <c:v>16125.15</c:v>
                </c:pt>
                <c:pt idx="957">
                  <c:v>16214.7</c:v>
                </c:pt>
                <c:pt idx="958">
                  <c:v>16266.15</c:v>
                </c:pt>
                <c:pt idx="959">
                  <c:v>15809.4</c:v>
                </c:pt>
                <c:pt idx="960">
                  <c:v>16240.3</c:v>
                </c:pt>
                <c:pt idx="961">
                  <c:v>16259.3</c:v>
                </c:pt>
                <c:pt idx="962">
                  <c:v>15842.3</c:v>
                </c:pt>
                <c:pt idx="963">
                  <c:v>15782.15</c:v>
                </c:pt>
                <c:pt idx="964">
                  <c:v>15808</c:v>
                </c:pt>
                <c:pt idx="965">
                  <c:v>16167.1</c:v>
                </c:pt>
                <c:pt idx="966">
                  <c:v>16240.05</c:v>
                </c:pt>
                <c:pt idx="967">
                  <c:v>16301.85</c:v>
                </c:pt>
                <c:pt idx="968">
                  <c:v>16411.25</c:v>
                </c:pt>
                <c:pt idx="969">
                  <c:v>16682.650000000001</c:v>
                </c:pt>
                <c:pt idx="970">
                  <c:v>16677.599999999999</c:v>
                </c:pt>
                <c:pt idx="971">
                  <c:v>17069.099999999999</c:v>
                </c:pt>
                <c:pt idx="972">
                  <c:v>17102.55</c:v>
                </c:pt>
                <c:pt idx="973">
                  <c:v>17245.05</c:v>
                </c:pt>
                <c:pt idx="974">
                  <c:v>17038.400000000001</c:v>
                </c:pt>
                <c:pt idx="975">
                  <c:v>17200.8</c:v>
                </c:pt>
                <c:pt idx="976">
                  <c:v>16953.95</c:v>
                </c:pt>
                <c:pt idx="977">
                  <c:v>17171.95</c:v>
                </c:pt>
                <c:pt idx="978">
                  <c:v>17392.599999999999</c:v>
                </c:pt>
                <c:pt idx="979">
                  <c:v>17136.55</c:v>
                </c:pt>
                <c:pt idx="980">
                  <c:v>16958.650000000001</c:v>
                </c:pt>
                <c:pt idx="981">
                  <c:v>17173.650000000001</c:v>
                </c:pt>
                <c:pt idx="982">
                  <c:v>17475.650000000001</c:v>
                </c:pt>
                <c:pt idx="983">
                  <c:v>17530.3</c:v>
                </c:pt>
                <c:pt idx="984">
                  <c:v>17674.95</c:v>
                </c:pt>
                <c:pt idx="985">
                  <c:v>17784.349999999999</c:v>
                </c:pt>
                <c:pt idx="986">
                  <c:v>17639.55</c:v>
                </c:pt>
                <c:pt idx="987">
                  <c:v>17807.650000000001</c:v>
                </c:pt>
                <c:pt idx="988">
                  <c:v>17957.400000000001</c:v>
                </c:pt>
                <c:pt idx="989">
                  <c:v>18053.400000000001</c:v>
                </c:pt>
                <c:pt idx="990">
                  <c:v>17670.45</c:v>
                </c:pt>
                <c:pt idx="991">
                  <c:v>17464.75</c:v>
                </c:pt>
                <c:pt idx="992">
                  <c:v>17498.25</c:v>
                </c:pt>
                <c:pt idx="993">
                  <c:v>17325.3</c:v>
                </c:pt>
                <c:pt idx="994">
                  <c:v>17222</c:v>
                </c:pt>
                <c:pt idx="995">
                  <c:v>17153</c:v>
                </c:pt>
                <c:pt idx="996">
                  <c:v>17222.75</c:v>
                </c:pt>
                <c:pt idx="997">
                  <c:v>17245.650000000001</c:v>
                </c:pt>
                <c:pt idx="998">
                  <c:v>17315.5</c:v>
                </c:pt>
                <c:pt idx="999">
                  <c:v>17117.599999999999</c:v>
                </c:pt>
                <c:pt idx="1000">
                  <c:v>17287.05</c:v>
                </c:pt>
                <c:pt idx="1001">
                  <c:v>16975.349999999999</c:v>
                </c:pt>
                <c:pt idx="1002">
                  <c:v>16663</c:v>
                </c:pt>
                <c:pt idx="1003">
                  <c:v>16871.3</c:v>
                </c:pt>
                <c:pt idx="1004">
                  <c:v>16630.45</c:v>
                </c:pt>
                <c:pt idx="1005">
                  <c:v>16594.900000000001</c:v>
                </c:pt>
                <c:pt idx="1006">
                  <c:v>16345.35</c:v>
                </c:pt>
                <c:pt idx="1007">
                  <c:v>16013.45</c:v>
                </c:pt>
                <c:pt idx="1008">
                  <c:v>15863.15</c:v>
                </c:pt>
                <c:pt idx="1009">
                  <c:v>16245.35</c:v>
                </c:pt>
                <c:pt idx="1010">
                  <c:v>16498.05</c:v>
                </c:pt>
                <c:pt idx="1011">
                  <c:v>16605.95</c:v>
                </c:pt>
                <c:pt idx="1012">
                  <c:v>16793.900000000001</c:v>
                </c:pt>
                <c:pt idx="1013">
                  <c:v>16658.400000000001</c:v>
                </c:pt>
                <c:pt idx="1014">
                  <c:v>16247.95</c:v>
                </c:pt>
                <c:pt idx="1015">
                  <c:v>17063.25</c:v>
                </c:pt>
                <c:pt idx="1016">
                  <c:v>17092.2</c:v>
                </c:pt>
                <c:pt idx="1017">
                  <c:v>17206.650000000001</c:v>
                </c:pt>
                <c:pt idx="1018">
                  <c:v>17276.3</c:v>
                </c:pt>
                <c:pt idx="1019">
                  <c:v>17304.599999999999</c:v>
                </c:pt>
                <c:pt idx="1020">
                  <c:v>17322.2</c:v>
                </c:pt>
                <c:pt idx="1021">
                  <c:v>17352.45</c:v>
                </c:pt>
                <c:pt idx="1022">
                  <c:v>16842.8</c:v>
                </c:pt>
                <c:pt idx="1023">
                  <c:v>17374.75</c:v>
                </c:pt>
                <c:pt idx="1024">
                  <c:v>17605.849999999999</c:v>
                </c:pt>
                <c:pt idx="1025">
                  <c:v>17463.8</c:v>
                </c:pt>
                <c:pt idx="1026">
                  <c:v>17266.75</c:v>
                </c:pt>
                <c:pt idx="1027">
                  <c:v>17213.599999999999</c:v>
                </c:pt>
                <c:pt idx="1028">
                  <c:v>17516.3</c:v>
                </c:pt>
                <c:pt idx="1029">
                  <c:v>17560.2</c:v>
                </c:pt>
                <c:pt idx="1030">
                  <c:v>17780</c:v>
                </c:pt>
                <c:pt idx="1031">
                  <c:v>17576.849999999999</c:v>
                </c:pt>
                <c:pt idx="1032">
                  <c:v>17339.849999999999</c:v>
                </c:pt>
                <c:pt idx="1033">
                  <c:v>17101.95</c:v>
                </c:pt>
                <c:pt idx="1034">
                  <c:v>17110.150000000001</c:v>
                </c:pt>
                <c:pt idx="1035">
                  <c:v>17277.95</c:v>
                </c:pt>
                <c:pt idx="1036">
                  <c:v>17149.099999999999</c:v>
                </c:pt>
                <c:pt idx="1037">
                  <c:v>17617.150000000001</c:v>
                </c:pt>
                <c:pt idx="1038">
                  <c:v>17757</c:v>
                </c:pt>
                <c:pt idx="1039">
                  <c:v>17938.400000000001</c:v>
                </c:pt>
                <c:pt idx="1040">
                  <c:v>18113.05</c:v>
                </c:pt>
                <c:pt idx="1041">
                  <c:v>18308.099999999999</c:v>
                </c:pt>
                <c:pt idx="1042">
                  <c:v>18255.75</c:v>
                </c:pt>
                <c:pt idx="1043">
                  <c:v>18257.8</c:v>
                </c:pt>
                <c:pt idx="1044">
                  <c:v>18212.349999999999</c:v>
                </c:pt>
                <c:pt idx="1045">
                  <c:v>18055.75</c:v>
                </c:pt>
                <c:pt idx="1046">
                  <c:v>18003.3</c:v>
                </c:pt>
                <c:pt idx="1047">
                  <c:v>17812.7</c:v>
                </c:pt>
                <c:pt idx="1048">
                  <c:v>17745.900000000001</c:v>
                </c:pt>
                <c:pt idx="1049">
                  <c:v>17925.25</c:v>
                </c:pt>
                <c:pt idx="1050">
                  <c:v>17805.25</c:v>
                </c:pt>
                <c:pt idx="1051">
                  <c:v>17625.7</c:v>
                </c:pt>
                <c:pt idx="1052">
                  <c:v>17354.05</c:v>
                </c:pt>
                <c:pt idx="1053">
                  <c:v>17203.95</c:v>
                </c:pt>
                <c:pt idx="1054">
                  <c:v>17213.599999999999</c:v>
                </c:pt>
                <c:pt idx="1055">
                  <c:v>17233.25</c:v>
                </c:pt>
                <c:pt idx="1056">
                  <c:v>17086.25</c:v>
                </c:pt>
                <c:pt idx="1057">
                  <c:v>17003.75</c:v>
                </c:pt>
                <c:pt idx="1058">
                  <c:v>17072.599999999999</c:v>
                </c:pt>
                <c:pt idx="1059">
                  <c:v>16955.45</c:v>
                </c:pt>
                <c:pt idx="1060">
                  <c:v>16770.849999999999</c:v>
                </c:pt>
                <c:pt idx="1061">
                  <c:v>16614.2</c:v>
                </c:pt>
                <c:pt idx="1062">
                  <c:v>16985.2</c:v>
                </c:pt>
                <c:pt idx="1063">
                  <c:v>17248.400000000001</c:v>
                </c:pt>
                <c:pt idx="1064">
                  <c:v>17221.400000000001</c:v>
                </c:pt>
                <c:pt idx="1065">
                  <c:v>17324.900000000001</c:v>
                </c:pt>
                <c:pt idx="1066">
                  <c:v>17368.25</c:v>
                </c:pt>
                <c:pt idx="1067">
                  <c:v>17511.3</c:v>
                </c:pt>
                <c:pt idx="1068">
                  <c:v>17516.849999999999</c:v>
                </c:pt>
                <c:pt idx="1069">
                  <c:v>17469.75</c:v>
                </c:pt>
                <c:pt idx="1070">
                  <c:v>17176.7</c:v>
                </c:pt>
                <c:pt idx="1071">
                  <c:v>16912.25</c:v>
                </c:pt>
                <c:pt idx="1072">
                  <c:v>17196.7</c:v>
                </c:pt>
                <c:pt idx="1073">
                  <c:v>17401.650000000001</c:v>
                </c:pt>
                <c:pt idx="1074">
                  <c:v>17166.900000000001</c:v>
                </c:pt>
                <c:pt idx="1075">
                  <c:v>16983.2</c:v>
                </c:pt>
                <c:pt idx="1076">
                  <c:v>17053.95</c:v>
                </c:pt>
                <c:pt idx="1077">
                  <c:v>17026.45</c:v>
                </c:pt>
                <c:pt idx="1078">
                  <c:v>17536.25</c:v>
                </c:pt>
                <c:pt idx="1079">
                  <c:v>17415.05</c:v>
                </c:pt>
                <c:pt idx="1080">
                  <c:v>17503.349999999999</c:v>
                </c:pt>
                <c:pt idx="1081">
                  <c:v>17416.55</c:v>
                </c:pt>
                <c:pt idx="1082">
                  <c:v>17764.8</c:v>
                </c:pt>
                <c:pt idx="1083">
                  <c:v>17898.650000000001</c:v>
                </c:pt>
                <c:pt idx="1084">
                  <c:v>17999.2</c:v>
                </c:pt>
                <c:pt idx="1085">
                  <c:v>18109.45</c:v>
                </c:pt>
                <c:pt idx="1086">
                  <c:v>18102.75</c:v>
                </c:pt>
                <c:pt idx="1087">
                  <c:v>17873.599999999999</c:v>
                </c:pt>
                <c:pt idx="1088">
                  <c:v>18017.2</c:v>
                </c:pt>
                <c:pt idx="1089">
                  <c:v>18044.25</c:v>
                </c:pt>
                <c:pt idx="1090">
                  <c:v>18068.55</c:v>
                </c:pt>
                <c:pt idx="1091">
                  <c:v>17916.8</c:v>
                </c:pt>
                <c:pt idx="1092">
                  <c:v>17829.2</c:v>
                </c:pt>
                <c:pt idx="1093">
                  <c:v>17888.95</c:v>
                </c:pt>
                <c:pt idx="1094">
                  <c:v>17929.650000000001</c:v>
                </c:pt>
                <c:pt idx="1095">
                  <c:v>17671.650000000001</c:v>
                </c:pt>
                <c:pt idx="1096">
                  <c:v>17857.25</c:v>
                </c:pt>
                <c:pt idx="1097">
                  <c:v>18210.95</c:v>
                </c:pt>
                <c:pt idx="1098">
                  <c:v>18268.400000000001</c:v>
                </c:pt>
                <c:pt idx="1099">
                  <c:v>18125.400000000001</c:v>
                </c:pt>
                <c:pt idx="1100">
                  <c:v>18114.900000000001</c:v>
                </c:pt>
                <c:pt idx="1101">
                  <c:v>18178.099999999999</c:v>
                </c:pt>
                <c:pt idx="1102">
                  <c:v>18266.599999999999</c:v>
                </c:pt>
                <c:pt idx="1103">
                  <c:v>18418.75</c:v>
                </c:pt>
                <c:pt idx="1104">
                  <c:v>18477.05</c:v>
                </c:pt>
                <c:pt idx="1105">
                  <c:v>18338.55</c:v>
                </c:pt>
                <c:pt idx="1106">
                  <c:v>18161.75</c:v>
                </c:pt>
                <c:pt idx="1107">
                  <c:v>17991.95</c:v>
                </c:pt>
                <c:pt idx="1108">
                  <c:v>17945.95</c:v>
                </c:pt>
                <c:pt idx="1109">
                  <c:v>17895.2</c:v>
                </c:pt>
                <c:pt idx="1110">
                  <c:v>17790.349999999999</c:v>
                </c:pt>
                <c:pt idx="1111">
                  <c:v>17646</c:v>
                </c:pt>
                <c:pt idx="1112">
                  <c:v>17822.3</c:v>
                </c:pt>
                <c:pt idx="1113">
                  <c:v>17691.25</c:v>
                </c:pt>
                <c:pt idx="1114">
                  <c:v>17532.05</c:v>
                </c:pt>
                <c:pt idx="1115">
                  <c:v>17618.150000000001</c:v>
                </c:pt>
                <c:pt idx="1116">
                  <c:v>17711.3</c:v>
                </c:pt>
                <c:pt idx="1117">
                  <c:v>17748.599999999999</c:v>
                </c:pt>
                <c:pt idx="1118">
                  <c:v>17855.099999999999</c:v>
                </c:pt>
                <c:pt idx="1119">
                  <c:v>17853.2</c:v>
                </c:pt>
                <c:pt idx="1120">
                  <c:v>17822.95</c:v>
                </c:pt>
                <c:pt idx="1121">
                  <c:v>17546.650000000001</c:v>
                </c:pt>
                <c:pt idx="1122">
                  <c:v>17562</c:v>
                </c:pt>
                <c:pt idx="1123">
                  <c:v>17396.900000000001</c:v>
                </c:pt>
                <c:pt idx="1124">
                  <c:v>17585.150000000001</c:v>
                </c:pt>
                <c:pt idx="1125">
                  <c:v>17629.5</c:v>
                </c:pt>
                <c:pt idx="1126">
                  <c:v>17519.45</c:v>
                </c:pt>
                <c:pt idx="1127">
                  <c:v>17380</c:v>
                </c:pt>
                <c:pt idx="1128">
                  <c:v>17355.3</c:v>
                </c:pt>
                <c:pt idx="1129">
                  <c:v>17369.25</c:v>
                </c:pt>
                <c:pt idx="1130">
                  <c:v>17353.5</c:v>
                </c:pt>
                <c:pt idx="1131">
                  <c:v>17362.099999999999</c:v>
                </c:pt>
                <c:pt idx="1132">
                  <c:v>17377.8</c:v>
                </c:pt>
                <c:pt idx="1133">
                  <c:v>17323.599999999999</c:v>
                </c:pt>
                <c:pt idx="1134">
                  <c:v>17234.150000000001</c:v>
                </c:pt>
                <c:pt idx="1135">
                  <c:v>17076.25</c:v>
                </c:pt>
                <c:pt idx="1136">
                  <c:v>17132.2</c:v>
                </c:pt>
                <c:pt idx="1137">
                  <c:v>16931.05</c:v>
                </c:pt>
                <c:pt idx="1138">
                  <c:v>16705.2</c:v>
                </c:pt>
                <c:pt idx="1139">
                  <c:v>16636.900000000001</c:v>
                </c:pt>
                <c:pt idx="1140">
                  <c:v>16634.650000000001</c:v>
                </c:pt>
                <c:pt idx="1141">
                  <c:v>16624.599999999999</c:v>
                </c:pt>
                <c:pt idx="1142">
                  <c:v>16496.45</c:v>
                </c:pt>
                <c:pt idx="1143">
                  <c:v>16450.5</c:v>
                </c:pt>
                <c:pt idx="1144">
                  <c:v>16568.849999999999</c:v>
                </c:pt>
                <c:pt idx="1145">
                  <c:v>16614.599999999999</c:v>
                </c:pt>
                <c:pt idx="1146">
                  <c:v>16563.05</c:v>
                </c:pt>
                <c:pt idx="1147">
                  <c:v>16529.099999999999</c:v>
                </c:pt>
                <c:pt idx="1148">
                  <c:v>16364.4</c:v>
                </c:pt>
                <c:pt idx="1149">
                  <c:v>16282.25</c:v>
                </c:pt>
                <c:pt idx="1150">
                  <c:v>16280.1</c:v>
                </c:pt>
                <c:pt idx="1151">
                  <c:v>16258.25</c:v>
                </c:pt>
                <c:pt idx="1152">
                  <c:v>16238.2</c:v>
                </c:pt>
                <c:pt idx="1153">
                  <c:v>16294.6</c:v>
                </c:pt>
                <c:pt idx="1154">
                  <c:v>16258.8</c:v>
                </c:pt>
                <c:pt idx="1155">
                  <c:v>16130.75</c:v>
                </c:pt>
                <c:pt idx="1156">
                  <c:v>15885.15</c:v>
                </c:pt>
                <c:pt idx="1157">
                  <c:v>15763.05</c:v>
                </c:pt>
                <c:pt idx="1158">
                  <c:v>15778.45</c:v>
                </c:pt>
                <c:pt idx="1159">
                  <c:v>15709.4</c:v>
                </c:pt>
                <c:pt idx="1160">
                  <c:v>15746.45</c:v>
                </c:pt>
                <c:pt idx="1161">
                  <c:v>15824.45</c:v>
                </c:pt>
                <c:pt idx="1162">
                  <c:v>15856.05</c:v>
                </c:pt>
                <c:pt idx="1163">
                  <c:v>15824.05</c:v>
                </c:pt>
                <c:pt idx="1164">
                  <c:v>15632.1</c:v>
                </c:pt>
                <c:pt idx="1165">
                  <c:v>15752.4</c:v>
                </c:pt>
                <c:pt idx="1166">
                  <c:v>15923.4</c:v>
                </c:pt>
                <c:pt idx="1167">
                  <c:v>15924.2</c:v>
                </c:pt>
                <c:pt idx="1168">
                  <c:v>15853.95</c:v>
                </c:pt>
                <c:pt idx="1169">
                  <c:v>15812.35</c:v>
                </c:pt>
                <c:pt idx="1170">
                  <c:v>15692.6</c:v>
                </c:pt>
                <c:pt idx="1171">
                  <c:v>15689.8</c:v>
                </c:pt>
                <c:pt idx="1172">
                  <c:v>15727.9</c:v>
                </c:pt>
                <c:pt idx="1173">
                  <c:v>15879.65</c:v>
                </c:pt>
                <c:pt idx="1174">
                  <c:v>15818.25</c:v>
                </c:pt>
                <c:pt idx="1175">
                  <c:v>15834.35</c:v>
                </c:pt>
                <c:pt idx="1176">
                  <c:v>15722.2</c:v>
                </c:pt>
                <c:pt idx="1177">
                  <c:v>15680</c:v>
                </c:pt>
                <c:pt idx="1178">
                  <c:v>15721.5</c:v>
                </c:pt>
                <c:pt idx="1179">
                  <c:v>15748.45</c:v>
                </c:pt>
                <c:pt idx="1180">
                  <c:v>15814.7</c:v>
                </c:pt>
                <c:pt idx="1181">
                  <c:v>15860.35</c:v>
                </c:pt>
                <c:pt idx="1182">
                  <c:v>15790.45</c:v>
                </c:pt>
                <c:pt idx="1183">
                  <c:v>15686.95</c:v>
                </c:pt>
                <c:pt idx="1184">
                  <c:v>15772.75</c:v>
                </c:pt>
                <c:pt idx="1185">
                  <c:v>15746.5</c:v>
                </c:pt>
                <c:pt idx="1186">
                  <c:v>15683.35</c:v>
                </c:pt>
                <c:pt idx="1187">
                  <c:v>15691.4</c:v>
                </c:pt>
                <c:pt idx="1188">
                  <c:v>15767.55</c:v>
                </c:pt>
                <c:pt idx="1189">
                  <c:v>15869.25</c:v>
                </c:pt>
                <c:pt idx="1190">
                  <c:v>15811.85</c:v>
                </c:pt>
                <c:pt idx="1191">
                  <c:v>15799.35</c:v>
                </c:pt>
                <c:pt idx="1192">
                  <c:v>15737.75</c:v>
                </c:pt>
                <c:pt idx="1193">
                  <c:v>15635.35</c:v>
                </c:pt>
                <c:pt idx="1194">
                  <c:v>15740.1</c:v>
                </c:pt>
                <c:pt idx="1195">
                  <c:v>15751.65</c:v>
                </c:pt>
                <c:pt idx="1196">
                  <c:v>15670.25</c:v>
                </c:pt>
                <c:pt idx="1197">
                  <c:v>15690.35</c:v>
                </c:pt>
                <c:pt idx="1198">
                  <c:v>15576.2</c:v>
                </c:pt>
                <c:pt idx="1199">
                  <c:v>15574.85</c:v>
                </c:pt>
                <c:pt idx="1200">
                  <c:v>15582.8</c:v>
                </c:pt>
                <c:pt idx="1201">
                  <c:v>15435.65</c:v>
                </c:pt>
                <c:pt idx="1202">
                  <c:v>15337.85</c:v>
                </c:pt>
                <c:pt idx="1203">
                  <c:v>15301.45</c:v>
                </c:pt>
                <c:pt idx="1204">
                  <c:v>15208.45</c:v>
                </c:pt>
                <c:pt idx="1205">
                  <c:v>15197.7</c:v>
                </c:pt>
                <c:pt idx="1206">
                  <c:v>15175.3</c:v>
                </c:pt>
                <c:pt idx="1207">
                  <c:v>14906.05</c:v>
                </c:pt>
                <c:pt idx="1208">
                  <c:v>15030.15</c:v>
                </c:pt>
                <c:pt idx="1209">
                  <c:v>15108.1</c:v>
                </c:pt>
                <c:pt idx="1210">
                  <c:v>14923.15</c:v>
                </c:pt>
                <c:pt idx="1211">
                  <c:v>14677.8</c:v>
                </c:pt>
                <c:pt idx="1212">
                  <c:v>14696.5</c:v>
                </c:pt>
                <c:pt idx="1213">
                  <c:v>14850.75</c:v>
                </c:pt>
                <c:pt idx="1214">
                  <c:v>14942.35</c:v>
                </c:pt>
                <c:pt idx="1215">
                  <c:v>14823.15</c:v>
                </c:pt>
                <c:pt idx="1216">
                  <c:v>14724.8</c:v>
                </c:pt>
                <c:pt idx="1217">
                  <c:v>14617.85</c:v>
                </c:pt>
                <c:pt idx="1218">
                  <c:v>14496.5</c:v>
                </c:pt>
                <c:pt idx="1219">
                  <c:v>14634.15</c:v>
                </c:pt>
                <c:pt idx="1220">
                  <c:v>14631.1</c:v>
                </c:pt>
                <c:pt idx="1221">
                  <c:v>14894.9</c:v>
                </c:pt>
                <c:pt idx="1222">
                  <c:v>14864.55</c:v>
                </c:pt>
                <c:pt idx="1223">
                  <c:v>14653.05</c:v>
                </c:pt>
                <c:pt idx="1224">
                  <c:v>14485</c:v>
                </c:pt>
                <c:pt idx="1225">
                  <c:v>14341.35</c:v>
                </c:pt>
                <c:pt idx="1226">
                  <c:v>14406.15</c:v>
                </c:pt>
                <c:pt idx="1227">
                  <c:v>14296.4</c:v>
                </c:pt>
                <c:pt idx="1228">
                  <c:v>14359.45</c:v>
                </c:pt>
                <c:pt idx="1229">
                  <c:v>14617.85</c:v>
                </c:pt>
                <c:pt idx="1230">
                  <c:v>14581.45</c:v>
                </c:pt>
                <c:pt idx="1231">
                  <c:v>14504.8</c:v>
                </c:pt>
                <c:pt idx="1232">
                  <c:v>14310.8</c:v>
                </c:pt>
                <c:pt idx="1233">
                  <c:v>14834.85</c:v>
                </c:pt>
                <c:pt idx="1234">
                  <c:v>14873.8</c:v>
                </c:pt>
                <c:pt idx="1235">
                  <c:v>14819.05</c:v>
                </c:pt>
                <c:pt idx="1236">
                  <c:v>14683.5</c:v>
                </c:pt>
                <c:pt idx="1237">
                  <c:v>14637.8</c:v>
                </c:pt>
                <c:pt idx="1238">
                  <c:v>14867.35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7D-4572-9E5D-A7A960BF5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700080"/>
        <c:axId val="96702000"/>
      </c:lineChart>
      <c:catAx>
        <c:axId val="96700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02000"/>
        <c:crosses val="autoZero"/>
        <c:auto val="1"/>
        <c:lblAlgn val="ctr"/>
        <c:lblOffset val="100"/>
        <c:noMultiLvlLbl val="0"/>
      </c:catAx>
      <c:valAx>
        <c:axId val="9670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0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'Capital Structure'!$A$4</c:f>
              <c:strCache>
                <c:ptCount val="1"/>
                <c:pt idx="0">
                  <c:v>Equity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'Capital Structure'!$B$3:$H$3</c:f>
              <c:strCache>
                <c:ptCount val="7"/>
                <c:pt idx="0">
                  <c:v>BV</c:v>
                </c:pt>
                <c:pt idx="1">
                  <c:v>MV</c:v>
                </c:pt>
                <c:pt idx="2">
                  <c:v>Cost</c:v>
                </c:pt>
                <c:pt idx="3">
                  <c:v>Weights BV</c:v>
                </c:pt>
                <c:pt idx="4">
                  <c:v>Weights MV</c:v>
                </c:pt>
                <c:pt idx="5">
                  <c:v>WACC BV</c:v>
                </c:pt>
                <c:pt idx="6">
                  <c:v>WACC MV</c:v>
                </c:pt>
              </c:strCache>
            </c:strRef>
          </c:cat>
          <c:val>
            <c:numRef>
              <c:f>'Capital Structure'!$B$4:$H$4</c:f>
              <c:numCache>
                <c:formatCode>General</c:formatCode>
                <c:ptCount val="7"/>
                <c:pt idx="0" formatCode="_(* #,##0.00_);_(* \(#,##0.00\);_(* &quot;-&quot;??_);_(@_)">
                  <c:v>50313.97</c:v>
                </c:pt>
                <c:pt idx="1">
                  <c:v>259128.57800997701</c:v>
                </c:pt>
                <c:pt idx="2" formatCode="0.00%">
                  <c:v>9.5146106834640393E-2</c:v>
                </c:pt>
                <c:pt idx="3" formatCode="0.00">
                  <c:v>0.3539918276624297</c:v>
                </c:pt>
                <c:pt idx="4" formatCode="0.00">
                  <c:v>0.73836797494597495</c:v>
                </c:pt>
                <c:pt idx="5" formatCode="0.0%">
                  <c:v>3.3680944253359144E-2</c:v>
                </c:pt>
                <c:pt idx="6" formatCode="0.0%">
                  <c:v>7.0252838227486819E-2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6A-4FBD-83F5-17C78563982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422910</xdr:colOff>
      <xdr:row>8</xdr:row>
      <xdr:rowOff>72390</xdr:rowOff>
    </xdr:from>
    <xdr:to>
      <xdr:col>9</xdr:col>
      <xdr:colOff>567690</xdr:colOff>
      <xdr:row>23</xdr:row>
      <xdr:rowOff>72390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04EB45B-181E-541C-F810-E684262BA7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7</xdr:row>
      <xdr:rowOff>49530</xdr:rowOff>
    </xdr:from>
    <xdr:to>
      <xdr:col>7</xdr:col>
      <xdr:colOff>278130</xdr:colOff>
      <xdr:row>22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02B04D-6A4C-3A3D-3861-9F51C6837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G22" headerRowCount="0" totalsRowShown="0" headerRowDxfId="9">
  <tableColumns count="7">
    <tableColumn id="1" xr3:uid="{00000000-0010-0000-0000-000001000000}" name="Column1" headerRowDxfId="8" dataDxfId="7"/>
    <tableColumn id="7" xr3:uid="{00000000-0010-0000-0000-000007000000}" name="Column7" headerRowDxfId="6"/>
    <tableColumn id="8" xr3:uid="{00000000-0010-0000-0000-000008000000}" name="Column8" headerRowDxfId="5"/>
    <tableColumn id="9" xr3:uid="{00000000-0010-0000-0000-000009000000}" name="Column9" headerRowDxfId="4"/>
    <tableColumn id="10" xr3:uid="{00000000-0010-0000-0000-00000A000000}" name="Column10" headerRowDxfId="3"/>
    <tableColumn id="11" xr3:uid="{00000000-0010-0000-0000-00000B000000}" name="Column11" headerRowDxfId="2"/>
    <tableColumn id="2" xr3:uid="{268A1E6E-F74D-4F68-B6F4-40DBECF86DAC}" name="Column2" headerRowDxfId="1"/>
  </tableColumns>
  <tableStyleInfo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86A4A-7575-482F-B6DF-3052AEAF46EE}">
  <dimension ref="A1:B8"/>
  <sheetViews>
    <sheetView workbookViewId="0">
      <selection activeCell="B12" sqref="B12"/>
    </sheetView>
  </sheetViews>
  <sheetFormatPr defaultRowHeight="14.4" x14ac:dyDescent="0.3"/>
  <cols>
    <col min="1" max="1" width="23" customWidth="1"/>
    <col min="2" max="2" width="40.6640625" customWidth="1"/>
  </cols>
  <sheetData>
    <row r="1" spans="1:2" x14ac:dyDescent="0.3">
      <c r="A1" s="48" t="s">
        <v>1317</v>
      </c>
      <c r="B1" s="48"/>
    </row>
    <row r="2" spans="1:2" x14ac:dyDescent="0.3">
      <c r="A2" s="48"/>
      <c r="B2" s="48"/>
    </row>
    <row r="3" spans="1:2" x14ac:dyDescent="0.3">
      <c r="A3" s="49" t="s">
        <v>1305</v>
      </c>
      <c r="B3" s="49" t="s">
        <v>1306</v>
      </c>
    </row>
    <row r="4" spans="1:2" x14ac:dyDescent="0.3">
      <c r="A4" s="52" t="s">
        <v>1307</v>
      </c>
      <c r="B4" s="52" t="s">
        <v>1308</v>
      </c>
    </row>
    <row r="5" spans="1:2" x14ac:dyDescent="0.3">
      <c r="A5" s="52" t="s">
        <v>1309</v>
      </c>
      <c r="B5" s="52" t="s">
        <v>1310</v>
      </c>
    </row>
    <row r="6" spans="1:2" x14ac:dyDescent="0.3">
      <c r="A6" s="52" t="s">
        <v>1311</v>
      </c>
      <c r="B6" s="52" t="s">
        <v>1312</v>
      </c>
    </row>
    <row r="7" spans="1:2" x14ac:dyDescent="0.3">
      <c r="A7" s="52" t="s">
        <v>1313</v>
      </c>
      <c r="B7" s="52" t="s">
        <v>1314</v>
      </c>
    </row>
    <row r="8" spans="1:2" ht="25.8" customHeight="1" x14ac:dyDescent="0.3">
      <c r="A8" s="52" t="s">
        <v>1315</v>
      </c>
      <c r="B8" s="52" t="s">
        <v>1316</v>
      </c>
    </row>
  </sheetData>
  <mergeCells count="1">
    <mergeCell ref="A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BD2D6-C498-4990-AC15-5DA9CFB1FB99}">
  <dimension ref="A1:G1240"/>
  <sheetViews>
    <sheetView workbookViewId="0">
      <selection activeCell="I3" sqref="I3"/>
    </sheetView>
  </sheetViews>
  <sheetFormatPr defaultRowHeight="14.4" x14ac:dyDescent="0.3"/>
  <cols>
    <col min="1" max="1" width="16.6640625" style="25" customWidth="1"/>
  </cols>
  <sheetData>
    <row r="1" spans="1:7" x14ac:dyDescent="0.3">
      <c r="A1" s="26" t="s">
        <v>61</v>
      </c>
      <c r="B1" s="27" t="s">
        <v>35</v>
      </c>
      <c r="C1" s="27" t="s">
        <v>1300</v>
      </c>
      <c r="D1" s="27" t="s">
        <v>1299</v>
      </c>
      <c r="E1" s="27" t="s">
        <v>1298</v>
      </c>
      <c r="F1" s="27" t="s">
        <v>1297</v>
      </c>
      <c r="G1" s="27" t="s">
        <v>1296</v>
      </c>
    </row>
    <row r="2" spans="1:7" x14ac:dyDescent="0.3">
      <c r="A2" s="25">
        <v>46111</v>
      </c>
      <c r="B2" s="13">
        <v>22331.4</v>
      </c>
      <c r="C2" s="13">
        <v>22549.65</v>
      </c>
      <c r="D2" s="13">
        <v>22714.1</v>
      </c>
      <c r="E2" s="13">
        <v>22283.85</v>
      </c>
      <c r="F2" t="s">
        <v>1295</v>
      </c>
      <c r="G2" s="4">
        <v>-2.1399999999999999E-2</v>
      </c>
    </row>
    <row r="3" spans="1:7" x14ac:dyDescent="0.3">
      <c r="A3" s="25">
        <v>46108</v>
      </c>
      <c r="B3" s="13">
        <v>22819.599999999999</v>
      </c>
      <c r="C3" s="13">
        <v>23173.55</v>
      </c>
      <c r="D3" s="13">
        <v>23186.1</v>
      </c>
      <c r="E3" s="13">
        <v>22804.55</v>
      </c>
      <c r="F3" t="s">
        <v>1294</v>
      </c>
      <c r="G3" s="4">
        <v>-2.0899999999999998E-2</v>
      </c>
    </row>
    <row r="4" spans="1:7" x14ac:dyDescent="0.3">
      <c r="A4" s="25">
        <v>46106</v>
      </c>
      <c r="B4" s="13">
        <v>23306.45</v>
      </c>
      <c r="C4" s="13">
        <v>23064.400000000001</v>
      </c>
      <c r="D4" s="13">
        <v>23465.35</v>
      </c>
      <c r="E4" s="13">
        <v>23063.200000000001</v>
      </c>
      <c r="F4" t="s">
        <v>1293</v>
      </c>
      <c r="G4" s="4">
        <v>1.72E-2</v>
      </c>
    </row>
    <row r="5" spans="1:7" x14ac:dyDescent="0.3">
      <c r="A5" s="25">
        <v>46105</v>
      </c>
      <c r="B5" s="13">
        <v>22912.400000000001</v>
      </c>
      <c r="C5" s="13">
        <v>22878.45</v>
      </c>
      <c r="D5" s="13">
        <v>23057.3</v>
      </c>
      <c r="E5" s="13">
        <v>22624.2</v>
      </c>
      <c r="F5" t="s">
        <v>1292</v>
      </c>
      <c r="G5" s="4">
        <v>1.78E-2</v>
      </c>
    </row>
    <row r="6" spans="1:7" x14ac:dyDescent="0.3">
      <c r="A6" s="25">
        <v>46104</v>
      </c>
      <c r="B6" s="13">
        <v>22512.65</v>
      </c>
      <c r="C6" s="13">
        <v>22824.35</v>
      </c>
      <c r="D6" s="13">
        <v>22851.7</v>
      </c>
      <c r="E6" s="13">
        <v>22471.25</v>
      </c>
      <c r="F6" t="s">
        <v>1291</v>
      </c>
      <c r="G6" s="4">
        <v>-2.5999999999999999E-2</v>
      </c>
    </row>
    <row r="7" spans="1:7" x14ac:dyDescent="0.3">
      <c r="A7" s="25">
        <v>46101</v>
      </c>
      <c r="B7" s="13">
        <v>23114.5</v>
      </c>
      <c r="C7" s="13">
        <v>23110.15</v>
      </c>
      <c r="D7" s="13">
        <v>23345.15</v>
      </c>
      <c r="E7" s="13">
        <v>23067.599999999999</v>
      </c>
      <c r="F7" t="s">
        <v>1290</v>
      </c>
      <c r="G7" s="4">
        <v>4.8999999999999998E-3</v>
      </c>
    </row>
    <row r="8" spans="1:7" x14ac:dyDescent="0.3">
      <c r="A8" s="25">
        <v>46100</v>
      </c>
      <c r="B8" s="13">
        <v>23002.15</v>
      </c>
      <c r="C8" s="13">
        <v>23197.75</v>
      </c>
      <c r="D8" s="13">
        <v>23378.7</v>
      </c>
      <c r="E8" s="13">
        <v>22930.35</v>
      </c>
      <c r="F8" t="s">
        <v>1289</v>
      </c>
      <c r="G8" s="4">
        <v>-3.2599999999999997E-2</v>
      </c>
    </row>
    <row r="9" spans="1:7" x14ac:dyDescent="0.3">
      <c r="A9" s="25">
        <v>46099</v>
      </c>
      <c r="B9" s="13">
        <v>23777.8</v>
      </c>
      <c r="C9" s="13">
        <v>23632.9</v>
      </c>
      <c r="D9" s="13">
        <v>23862.25</v>
      </c>
      <c r="E9" s="13">
        <v>23618.45</v>
      </c>
      <c r="F9" t="s">
        <v>1288</v>
      </c>
      <c r="G9" s="4">
        <v>8.3000000000000001E-3</v>
      </c>
    </row>
    <row r="10" spans="1:7" x14ac:dyDescent="0.3">
      <c r="A10" s="25">
        <v>46098</v>
      </c>
      <c r="B10" s="13">
        <v>23581.15</v>
      </c>
      <c r="C10" s="13">
        <v>23493.200000000001</v>
      </c>
      <c r="D10" s="13">
        <v>23656.799999999999</v>
      </c>
      <c r="E10" s="13">
        <v>23346.6</v>
      </c>
      <c r="F10" t="s">
        <v>1287</v>
      </c>
      <c r="G10" s="4">
        <v>7.4000000000000003E-3</v>
      </c>
    </row>
    <row r="11" spans="1:7" x14ac:dyDescent="0.3">
      <c r="A11" s="25">
        <v>46097</v>
      </c>
      <c r="B11" s="13">
        <v>23408.799999999999</v>
      </c>
      <c r="C11" s="13">
        <v>23116.1</v>
      </c>
      <c r="D11" s="13">
        <v>23502</v>
      </c>
      <c r="E11" s="13">
        <v>22955.25</v>
      </c>
      <c r="F11" t="s">
        <v>1286</v>
      </c>
      <c r="G11" s="4">
        <v>1.11E-2</v>
      </c>
    </row>
    <row r="12" spans="1:7" x14ac:dyDescent="0.3">
      <c r="A12" s="25">
        <v>46094</v>
      </c>
      <c r="B12" s="13">
        <v>23151.1</v>
      </c>
      <c r="C12" s="13">
        <v>23462.5</v>
      </c>
      <c r="D12" s="13">
        <v>23492.400000000001</v>
      </c>
      <c r="E12" s="13">
        <v>23112</v>
      </c>
      <c r="F12" t="s">
        <v>1285</v>
      </c>
      <c r="G12" s="4">
        <v>-2.06E-2</v>
      </c>
    </row>
    <row r="13" spans="1:7" x14ac:dyDescent="0.3">
      <c r="A13" s="25">
        <v>46093</v>
      </c>
      <c r="B13" s="13">
        <v>23639.15</v>
      </c>
      <c r="C13" s="13">
        <v>23674.85</v>
      </c>
      <c r="D13" s="13">
        <v>23833.15</v>
      </c>
      <c r="E13" s="13">
        <v>23556.3</v>
      </c>
      <c r="F13" t="s">
        <v>1284</v>
      </c>
      <c r="G13" s="4">
        <v>-9.4999999999999998E-3</v>
      </c>
    </row>
    <row r="14" spans="1:7" x14ac:dyDescent="0.3">
      <c r="A14" s="25">
        <v>46092</v>
      </c>
      <c r="B14" s="13">
        <v>23866.85</v>
      </c>
      <c r="C14" s="13">
        <v>24231.85</v>
      </c>
      <c r="D14" s="13">
        <v>24299</v>
      </c>
      <c r="E14" s="13">
        <v>23834.3</v>
      </c>
      <c r="F14" t="s">
        <v>1283</v>
      </c>
      <c r="G14" s="4">
        <v>-1.6299999999999999E-2</v>
      </c>
    </row>
    <row r="15" spans="1:7" x14ac:dyDescent="0.3">
      <c r="A15" s="25">
        <v>46091</v>
      </c>
      <c r="B15" s="13">
        <v>24261.599999999999</v>
      </c>
      <c r="C15" s="13">
        <v>24280.799999999999</v>
      </c>
      <c r="D15" s="13">
        <v>24303.8</v>
      </c>
      <c r="E15" s="13">
        <v>24079.95</v>
      </c>
      <c r="F15" t="s">
        <v>1282</v>
      </c>
      <c r="G15" s="4">
        <v>9.7000000000000003E-3</v>
      </c>
    </row>
    <row r="16" spans="1:7" x14ac:dyDescent="0.3">
      <c r="A16" s="25">
        <v>46090</v>
      </c>
      <c r="B16" s="13">
        <v>24028.05</v>
      </c>
      <c r="C16" s="13">
        <v>23868.05</v>
      </c>
      <c r="D16" s="13">
        <v>24078.15</v>
      </c>
      <c r="E16" s="13">
        <v>23697.8</v>
      </c>
      <c r="F16" t="s">
        <v>1281</v>
      </c>
      <c r="G16" s="4">
        <v>-1.7299999999999999E-2</v>
      </c>
    </row>
    <row r="17" spans="1:7" x14ac:dyDescent="0.3">
      <c r="A17" s="25">
        <v>46087</v>
      </c>
      <c r="B17" s="13">
        <v>24450.45</v>
      </c>
      <c r="C17" s="13">
        <v>24656.400000000001</v>
      </c>
      <c r="D17" s="13">
        <v>24700.9</v>
      </c>
      <c r="E17" s="13">
        <v>24415.75</v>
      </c>
      <c r="F17" t="s">
        <v>1280</v>
      </c>
      <c r="G17" s="4">
        <v>-1.2699999999999999E-2</v>
      </c>
    </row>
    <row r="18" spans="1:7" x14ac:dyDescent="0.3">
      <c r="A18" s="25">
        <v>46086</v>
      </c>
      <c r="B18" s="13">
        <v>24765.9</v>
      </c>
      <c r="C18" s="13">
        <v>24615.95</v>
      </c>
      <c r="D18" s="13">
        <v>24854.2</v>
      </c>
      <c r="E18" s="13">
        <v>24529.4</v>
      </c>
      <c r="F18" t="s">
        <v>1279</v>
      </c>
      <c r="G18" s="4">
        <v>1.17E-2</v>
      </c>
    </row>
    <row r="19" spans="1:7" x14ac:dyDescent="0.3">
      <c r="A19" s="25">
        <v>46085</v>
      </c>
      <c r="B19" s="13">
        <v>24480.5</v>
      </c>
      <c r="C19" s="13">
        <v>24388.799999999999</v>
      </c>
      <c r="D19" s="13">
        <v>24602.45</v>
      </c>
      <c r="E19" s="13">
        <v>24305.4</v>
      </c>
      <c r="F19" t="s">
        <v>1278</v>
      </c>
      <c r="G19" s="4">
        <v>-1.55E-2</v>
      </c>
    </row>
    <row r="20" spans="1:7" x14ac:dyDescent="0.3">
      <c r="A20" s="25">
        <v>46083</v>
      </c>
      <c r="B20" s="13">
        <v>24865.7</v>
      </c>
      <c r="C20" s="13">
        <v>24659.25</v>
      </c>
      <c r="D20" s="13">
        <v>24989.35</v>
      </c>
      <c r="E20" s="13">
        <v>24603.5</v>
      </c>
      <c r="F20" t="s">
        <v>1277</v>
      </c>
      <c r="G20" s="4">
        <v>-1.24E-2</v>
      </c>
    </row>
    <row r="21" spans="1:7" x14ac:dyDescent="0.3">
      <c r="A21" s="25">
        <v>46080</v>
      </c>
      <c r="B21" s="13">
        <v>25178.65</v>
      </c>
      <c r="C21" s="13">
        <v>25459.85</v>
      </c>
      <c r="D21" s="13">
        <v>25476.400000000001</v>
      </c>
      <c r="E21" s="13">
        <v>25141.3</v>
      </c>
      <c r="F21" t="s">
        <v>1276</v>
      </c>
      <c r="G21" s="4">
        <v>-1.2500000000000001E-2</v>
      </c>
    </row>
    <row r="22" spans="1:7" x14ac:dyDescent="0.3">
      <c r="A22" s="25">
        <v>46079</v>
      </c>
      <c r="B22" s="13">
        <v>25496.55</v>
      </c>
      <c r="C22" s="13">
        <v>25556.3</v>
      </c>
      <c r="D22" s="13">
        <v>25572.95</v>
      </c>
      <c r="E22" s="13">
        <v>25400.95</v>
      </c>
      <c r="F22" t="s">
        <v>1275</v>
      </c>
      <c r="G22" s="4">
        <v>5.9999999999999995E-4</v>
      </c>
    </row>
    <row r="23" spans="1:7" x14ac:dyDescent="0.3">
      <c r="A23" s="25">
        <v>46078</v>
      </c>
      <c r="B23" s="13">
        <v>25482.5</v>
      </c>
      <c r="C23" s="13">
        <v>25512.6</v>
      </c>
      <c r="D23" s="13">
        <v>25652.6</v>
      </c>
      <c r="E23" s="13">
        <v>25428.2</v>
      </c>
      <c r="F23" t="s">
        <v>1274</v>
      </c>
      <c r="G23" s="4">
        <v>2.3E-3</v>
      </c>
    </row>
    <row r="24" spans="1:7" x14ac:dyDescent="0.3">
      <c r="A24" s="25">
        <v>46077</v>
      </c>
      <c r="B24" s="13">
        <v>25424.65</v>
      </c>
      <c r="C24" s="13">
        <v>25641.8</v>
      </c>
      <c r="D24" s="13">
        <v>25641.8</v>
      </c>
      <c r="E24" s="13">
        <v>25327.599999999999</v>
      </c>
      <c r="F24" t="s">
        <v>1273</v>
      </c>
      <c r="G24" s="4">
        <v>-1.12E-2</v>
      </c>
    </row>
    <row r="25" spans="1:7" x14ac:dyDescent="0.3">
      <c r="A25" s="25">
        <v>46076</v>
      </c>
      <c r="B25" s="13">
        <v>25713</v>
      </c>
      <c r="C25" s="13">
        <v>25678.400000000001</v>
      </c>
      <c r="D25" s="13">
        <v>25771.45</v>
      </c>
      <c r="E25" s="13">
        <v>25609.35</v>
      </c>
      <c r="F25" t="s">
        <v>1272</v>
      </c>
      <c r="G25" s="4">
        <v>5.4999999999999997E-3</v>
      </c>
    </row>
    <row r="26" spans="1:7" x14ac:dyDescent="0.3">
      <c r="A26" s="25">
        <v>46073</v>
      </c>
      <c r="B26" s="13">
        <v>25571.25</v>
      </c>
      <c r="C26" s="13">
        <v>25406.55</v>
      </c>
      <c r="D26" s="13">
        <v>25663.55</v>
      </c>
      <c r="E26" s="13">
        <v>25379.75</v>
      </c>
      <c r="F26" t="s">
        <v>1271</v>
      </c>
      <c r="G26" s="4">
        <v>4.5999999999999999E-3</v>
      </c>
    </row>
    <row r="27" spans="1:7" x14ac:dyDescent="0.3">
      <c r="A27" s="25">
        <v>46072</v>
      </c>
      <c r="B27" s="13">
        <v>25454.35</v>
      </c>
      <c r="C27" s="13">
        <v>25873.35</v>
      </c>
      <c r="D27" s="13">
        <v>25885.3</v>
      </c>
      <c r="E27" s="13">
        <v>25388.75</v>
      </c>
      <c r="F27" t="s">
        <v>1270</v>
      </c>
      <c r="G27" s="4">
        <v>-1.41E-2</v>
      </c>
    </row>
    <row r="28" spans="1:7" x14ac:dyDescent="0.3">
      <c r="A28" s="25">
        <v>46071</v>
      </c>
      <c r="B28" s="13">
        <v>25819.35</v>
      </c>
      <c r="C28" s="13">
        <v>25752.65</v>
      </c>
      <c r="D28" s="13">
        <v>25828.05</v>
      </c>
      <c r="E28" s="13">
        <v>25645.15</v>
      </c>
      <c r="F28" t="s">
        <v>1269</v>
      </c>
      <c r="G28" s="4">
        <v>3.7000000000000002E-3</v>
      </c>
    </row>
    <row r="29" spans="1:7" x14ac:dyDescent="0.3">
      <c r="A29" s="25">
        <v>46070</v>
      </c>
      <c r="B29" s="13">
        <v>25725.4</v>
      </c>
      <c r="C29" s="13">
        <v>25637.95</v>
      </c>
      <c r="D29" s="13">
        <v>25764.400000000001</v>
      </c>
      <c r="E29" s="13">
        <v>25570.3</v>
      </c>
      <c r="F29" t="s">
        <v>1268</v>
      </c>
      <c r="G29" s="4">
        <v>1.6999999999999999E-3</v>
      </c>
    </row>
    <row r="30" spans="1:7" x14ac:dyDescent="0.3">
      <c r="A30" s="25">
        <v>46069</v>
      </c>
      <c r="B30" s="13">
        <v>25682.75</v>
      </c>
      <c r="C30" s="13">
        <v>25423.599999999999</v>
      </c>
      <c r="D30" s="13">
        <v>25697</v>
      </c>
      <c r="E30" s="13">
        <v>25372.7</v>
      </c>
      <c r="F30" t="s">
        <v>1267</v>
      </c>
      <c r="G30" s="4">
        <v>8.3000000000000001E-3</v>
      </c>
    </row>
    <row r="31" spans="1:7" x14ac:dyDescent="0.3">
      <c r="A31" s="25">
        <v>46066</v>
      </c>
      <c r="B31" s="13">
        <v>25471.1</v>
      </c>
      <c r="C31" s="13">
        <v>25571.15</v>
      </c>
      <c r="D31" s="13">
        <v>25630.35</v>
      </c>
      <c r="E31" s="13">
        <v>25444.3</v>
      </c>
      <c r="F31" t="s">
        <v>1266</v>
      </c>
      <c r="G31" s="4">
        <v>-1.2999999999999999E-2</v>
      </c>
    </row>
    <row r="32" spans="1:7" x14ac:dyDescent="0.3">
      <c r="A32" s="25">
        <v>46065</v>
      </c>
      <c r="B32" s="13">
        <v>25807.200000000001</v>
      </c>
      <c r="C32" s="13">
        <v>25906.7</v>
      </c>
      <c r="D32" s="13">
        <v>25906.7</v>
      </c>
      <c r="E32" s="13">
        <v>25752.400000000001</v>
      </c>
      <c r="F32" t="s">
        <v>1265</v>
      </c>
      <c r="G32" s="4">
        <v>-5.7000000000000002E-3</v>
      </c>
    </row>
    <row r="33" spans="1:7" x14ac:dyDescent="0.3">
      <c r="A33" s="25">
        <v>46064</v>
      </c>
      <c r="B33" s="13">
        <v>25953.85</v>
      </c>
      <c r="C33" s="13">
        <v>25997.45</v>
      </c>
      <c r="D33" s="13">
        <v>26009.4</v>
      </c>
      <c r="E33" s="13">
        <v>25899.8</v>
      </c>
      <c r="F33" t="s">
        <v>1264</v>
      </c>
      <c r="G33" s="4">
        <v>6.9999999999999999E-4</v>
      </c>
    </row>
    <row r="34" spans="1:7" x14ac:dyDescent="0.3">
      <c r="A34" s="25">
        <v>46063</v>
      </c>
      <c r="B34" s="13">
        <v>25935.15</v>
      </c>
      <c r="C34" s="13">
        <v>25922.65</v>
      </c>
      <c r="D34" s="13">
        <v>25989.45</v>
      </c>
      <c r="E34" s="13">
        <v>25870.45</v>
      </c>
      <c r="F34" t="s">
        <v>1263</v>
      </c>
      <c r="G34" s="4">
        <v>2.5999999999999999E-3</v>
      </c>
    </row>
    <row r="35" spans="1:7" x14ac:dyDescent="0.3">
      <c r="A35" s="25">
        <v>46062</v>
      </c>
      <c r="B35" s="13">
        <v>25867.3</v>
      </c>
      <c r="C35" s="13">
        <v>25888.7</v>
      </c>
      <c r="D35" s="13">
        <v>25922.25</v>
      </c>
      <c r="E35" s="13">
        <v>25780.9</v>
      </c>
      <c r="F35" t="s">
        <v>1262</v>
      </c>
      <c r="G35" s="4">
        <v>6.7999999999999996E-3</v>
      </c>
    </row>
    <row r="36" spans="1:7" x14ac:dyDescent="0.3">
      <c r="A36" s="25">
        <v>46059</v>
      </c>
      <c r="B36" s="13">
        <v>25693.7</v>
      </c>
      <c r="C36" s="13">
        <v>25605.8</v>
      </c>
      <c r="D36" s="13">
        <v>25703.95</v>
      </c>
      <c r="E36" s="13">
        <v>25491.9</v>
      </c>
      <c r="F36" t="s">
        <v>1261</v>
      </c>
      <c r="G36" s="4">
        <v>2E-3</v>
      </c>
    </row>
    <row r="37" spans="1:7" x14ac:dyDescent="0.3">
      <c r="A37" s="25">
        <v>46058</v>
      </c>
      <c r="B37" s="13">
        <v>25642.799999999999</v>
      </c>
      <c r="C37" s="13">
        <v>25755.9</v>
      </c>
      <c r="D37" s="13">
        <v>25757.65</v>
      </c>
      <c r="E37" s="13">
        <v>25579.5</v>
      </c>
      <c r="F37" t="s">
        <v>1260</v>
      </c>
      <c r="G37" s="4">
        <v>-5.1999999999999998E-3</v>
      </c>
    </row>
    <row r="38" spans="1:7" x14ac:dyDescent="0.3">
      <c r="A38" s="25">
        <v>46057</v>
      </c>
      <c r="B38" s="13">
        <v>25776</v>
      </c>
      <c r="C38" s="13">
        <v>25675.05</v>
      </c>
      <c r="D38" s="13">
        <v>25818.55</v>
      </c>
      <c r="E38" s="13">
        <v>25563.95</v>
      </c>
      <c r="F38" t="s">
        <v>1259</v>
      </c>
      <c r="G38" s="4">
        <v>1.9E-3</v>
      </c>
    </row>
    <row r="39" spans="1:7" x14ac:dyDescent="0.3">
      <c r="A39" s="25">
        <v>46056</v>
      </c>
      <c r="B39" s="13">
        <v>25727.55</v>
      </c>
      <c r="C39" s="13">
        <v>26308.05</v>
      </c>
      <c r="D39" s="13">
        <v>26341.200000000001</v>
      </c>
      <c r="E39" s="13">
        <v>25641.3</v>
      </c>
      <c r="F39" t="s">
        <v>1258</v>
      </c>
      <c r="G39" s="4">
        <v>2.5499999999999998E-2</v>
      </c>
    </row>
    <row r="40" spans="1:7" x14ac:dyDescent="0.3">
      <c r="A40" s="25">
        <v>46055</v>
      </c>
      <c r="B40" s="13">
        <v>25088.400000000001</v>
      </c>
      <c r="C40" s="13">
        <v>24796.5</v>
      </c>
      <c r="D40" s="13">
        <v>25108.1</v>
      </c>
      <c r="E40" s="13">
        <v>24679.4</v>
      </c>
      <c r="F40" t="s">
        <v>1257</v>
      </c>
      <c r="G40" s="4">
        <v>1.06E-2</v>
      </c>
    </row>
    <row r="41" spans="1:7" x14ac:dyDescent="0.3">
      <c r="A41" s="25">
        <v>46054</v>
      </c>
      <c r="B41" s="13">
        <v>24825.45</v>
      </c>
      <c r="C41" s="13">
        <v>25333.75</v>
      </c>
      <c r="D41" s="13">
        <v>25440.9</v>
      </c>
      <c r="E41" s="13">
        <v>24571.75</v>
      </c>
      <c r="F41" t="s">
        <v>1256</v>
      </c>
      <c r="G41" s="4">
        <v>-1.9599999999999999E-2</v>
      </c>
    </row>
    <row r="42" spans="1:7" x14ac:dyDescent="0.3">
      <c r="A42" s="25">
        <v>46052</v>
      </c>
      <c r="B42" s="13">
        <v>25320.65</v>
      </c>
      <c r="C42" s="13">
        <v>25247.55</v>
      </c>
      <c r="D42" s="13">
        <v>25370.7</v>
      </c>
      <c r="E42" s="13">
        <v>25213.65</v>
      </c>
      <c r="F42" t="s">
        <v>1255</v>
      </c>
      <c r="G42" s="4">
        <v>-3.8999999999999998E-3</v>
      </c>
    </row>
    <row r="43" spans="1:7" x14ac:dyDescent="0.3">
      <c r="A43" s="25">
        <v>46051</v>
      </c>
      <c r="B43" s="13">
        <v>25418.9</v>
      </c>
      <c r="C43" s="13">
        <v>25345</v>
      </c>
      <c r="D43" s="13">
        <v>25458.15</v>
      </c>
      <c r="E43" s="13">
        <v>25159.8</v>
      </c>
      <c r="F43" t="s">
        <v>1254</v>
      </c>
      <c r="G43" s="4">
        <v>3.0000000000000001E-3</v>
      </c>
    </row>
    <row r="44" spans="1:7" x14ac:dyDescent="0.3">
      <c r="A44" s="25">
        <v>46050</v>
      </c>
      <c r="B44" s="13">
        <v>25342.75</v>
      </c>
      <c r="C44" s="13">
        <v>25258.85</v>
      </c>
      <c r="D44" s="13">
        <v>25372.1</v>
      </c>
      <c r="E44" s="13">
        <v>25187.65</v>
      </c>
      <c r="F44" t="s">
        <v>1253</v>
      </c>
      <c r="G44" s="4">
        <v>6.6E-3</v>
      </c>
    </row>
    <row r="45" spans="1:7" x14ac:dyDescent="0.3">
      <c r="A45" s="25">
        <v>46049</v>
      </c>
      <c r="B45" s="13">
        <v>25175.4</v>
      </c>
      <c r="C45" s="13">
        <v>25063.35</v>
      </c>
      <c r="D45" s="13">
        <v>25246.65</v>
      </c>
      <c r="E45" s="13">
        <v>24932.55</v>
      </c>
      <c r="F45" t="s">
        <v>1252</v>
      </c>
      <c r="G45" s="4">
        <v>5.1000000000000004E-3</v>
      </c>
    </row>
    <row r="46" spans="1:7" x14ac:dyDescent="0.3">
      <c r="A46" s="25">
        <v>46045</v>
      </c>
      <c r="B46" s="13">
        <v>25048.65</v>
      </c>
      <c r="C46" s="13">
        <v>25344.6</v>
      </c>
      <c r="D46" s="13">
        <v>25347.95</v>
      </c>
      <c r="E46" s="13">
        <v>25025.3</v>
      </c>
      <c r="F46" t="s">
        <v>1251</v>
      </c>
      <c r="G46" s="4">
        <v>-9.4999999999999998E-3</v>
      </c>
    </row>
    <row r="47" spans="1:7" x14ac:dyDescent="0.3">
      <c r="A47" s="25">
        <v>46044</v>
      </c>
      <c r="B47" s="13">
        <v>25289.9</v>
      </c>
      <c r="C47" s="13">
        <v>25344.15</v>
      </c>
      <c r="D47" s="13">
        <v>25435.75</v>
      </c>
      <c r="E47" s="13">
        <v>25168.5</v>
      </c>
      <c r="F47" t="s">
        <v>1250</v>
      </c>
      <c r="G47" s="4">
        <v>5.3E-3</v>
      </c>
    </row>
    <row r="48" spans="1:7" x14ac:dyDescent="0.3">
      <c r="A48" s="25">
        <v>46043</v>
      </c>
      <c r="B48" s="13">
        <v>25157.5</v>
      </c>
      <c r="C48" s="13">
        <v>25141</v>
      </c>
      <c r="D48" s="13">
        <v>25300.95</v>
      </c>
      <c r="E48" s="13">
        <v>24919.8</v>
      </c>
      <c r="F48" t="s">
        <v>1249</v>
      </c>
      <c r="G48" s="4">
        <v>-3.0000000000000001E-3</v>
      </c>
    </row>
    <row r="49" spans="1:7" x14ac:dyDescent="0.3">
      <c r="A49" s="25">
        <v>46042</v>
      </c>
      <c r="B49" s="13">
        <v>25232.5</v>
      </c>
      <c r="C49" s="13">
        <v>25580.3</v>
      </c>
      <c r="D49" s="13">
        <v>25585</v>
      </c>
      <c r="E49" s="13">
        <v>25171.35</v>
      </c>
      <c r="F49" t="s">
        <v>1248</v>
      </c>
      <c r="G49" s="4">
        <v>-1.38E-2</v>
      </c>
    </row>
    <row r="50" spans="1:7" x14ac:dyDescent="0.3">
      <c r="A50" s="25">
        <v>46041</v>
      </c>
      <c r="B50" s="13">
        <v>25585.5</v>
      </c>
      <c r="C50" s="13">
        <v>25653.1</v>
      </c>
      <c r="D50" s="13">
        <v>25653.3</v>
      </c>
      <c r="E50" s="13">
        <v>25494.35</v>
      </c>
      <c r="F50" t="s">
        <v>1247</v>
      </c>
      <c r="G50" s="4">
        <v>-4.1999999999999997E-3</v>
      </c>
    </row>
    <row r="51" spans="1:7" x14ac:dyDescent="0.3">
      <c r="A51" s="25">
        <v>46038</v>
      </c>
      <c r="B51" s="13">
        <v>25694.35</v>
      </c>
      <c r="C51" s="13">
        <v>25696.05</v>
      </c>
      <c r="D51" s="13">
        <v>25873.5</v>
      </c>
      <c r="E51" s="13">
        <v>25662.400000000001</v>
      </c>
      <c r="F51" t="s">
        <v>1246</v>
      </c>
      <c r="G51" s="4">
        <v>1.1000000000000001E-3</v>
      </c>
    </row>
    <row r="52" spans="1:7" x14ac:dyDescent="0.3">
      <c r="A52" s="25">
        <v>46036</v>
      </c>
      <c r="B52" s="13">
        <v>25665.599999999999</v>
      </c>
      <c r="C52" s="13">
        <v>25648.55</v>
      </c>
      <c r="D52" s="13">
        <v>25791.75</v>
      </c>
      <c r="E52" s="13">
        <v>25603.95</v>
      </c>
      <c r="F52" t="s">
        <v>1245</v>
      </c>
      <c r="G52" s="4">
        <v>-2.5999999999999999E-3</v>
      </c>
    </row>
    <row r="53" spans="1:7" x14ac:dyDescent="0.3">
      <c r="A53" s="25">
        <v>46035</v>
      </c>
      <c r="B53" s="13">
        <v>25732.3</v>
      </c>
      <c r="C53" s="13">
        <v>25897.35</v>
      </c>
      <c r="D53" s="13">
        <v>25899.8</v>
      </c>
      <c r="E53" s="13">
        <v>25603.3</v>
      </c>
      <c r="F53" t="s">
        <v>1244</v>
      </c>
      <c r="G53" s="4">
        <v>-2.2000000000000001E-3</v>
      </c>
    </row>
    <row r="54" spans="1:7" x14ac:dyDescent="0.3">
      <c r="A54" s="25">
        <v>46034</v>
      </c>
      <c r="B54" s="13">
        <v>25790.25</v>
      </c>
      <c r="C54" s="13">
        <v>25669.05</v>
      </c>
      <c r="D54" s="13">
        <v>25813.15</v>
      </c>
      <c r="E54" s="13">
        <v>25473.4</v>
      </c>
      <c r="F54" t="s">
        <v>1243</v>
      </c>
      <c r="G54" s="4">
        <v>4.1999999999999997E-3</v>
      </c>
    </row>
    <row r="55" spans="1:7" x14ac:dyDescent="0.3">
      <c r="A55" s="25">
        <v>46031</v>
      </c>
      <c r="B55" s="13">
        <v>25683.3</v>
      </c>
      <c r="C55" s="13">
        <v>25840.400000000001</v>
      </c>
      <c r="D55" s="13">
        <v>25940.6</v>
      </c>
      <c r="E55" s="13">
        <v>25623</v>
      </c>
      <c r="F55" t="s">
        <v>1242</v>
      </c>
      <c r="G55" s="4">
        <v>-7.4999999999999997E-3</v>
      </c>
    </row>
    <row r="56" spans="1:7" x14ac:dyDescent="0.3">
      <c r="A56" s="25">
        <v>46030</v>
      </c>
      <c r="B56" s="13">
        <v>25876.85</v>
      </c>
      <c r="C56" s="13">
        <v>26106.5</v>
      </c>
      <c r="D56" s="13">
        <v>26133.200000000001</v>
      </c>
      <c r="E56" s="13">
        <v>25858.45</v>
      </c>
      <c r="F56" t="s">
        <v>1241</v>
      </c>
      <c r="G56" s="4">
        <v>-1.01E-2</v>
      </c>
    </row>
    <row r="57" spans="1:7" x14ac:dyDescent="0.3">
      <c r="A57" s="25">
        <v>46029</v>
      </c>
      <c r="B57" s="13">
        <v>26140.75</v>
      </c>
      <c r="C57" s="13">
        <v>26143.1</v>
      </c>
      <c r="D57" s="13">
        <v>26187.15</v>
      </c>
      <c r="E57" s="13">
        <v>26067.9</v>
      </c>
      <c r="F57" t="s">
        <v>1052</v>
      </c>
      <c r="G57" s="4">
        <v>-1.4E-3</v>
      </c>
    </row>
    <row r="58" spans="1:7" x14ac:dyDescent="0.3">
      <c r="A58" s="25">
        <v>46028</v>
      </c>
      <c r="B58" s="13">
        <v>26178.7</v>
      </c>
      <c r="C58" s="13">
        <v>26189.7</v>
      </c>
      <c r="D58" s="13">
        <v>26273.95</v>
      </c>
      <c r="E58" s="13">
        <v>26124.75</v>
      </c>
      <c r="F58" t="s">
        <v>1240</v>
      </c>
      <c r="G58" s="4">
        <v>-2.7000000000000001E-3</v>
      </c>
    </row>
    <row r="59" spans="1:7" x14ac:dyDescent="0.3">
      <c r="A59" s="25">
        <v>46027</v>
      </c>
      <c r="B59" s="13">
        <v>26250.3</v>
      </c>
      <c r="C59" s="13">
        <v>26333.7</v>
      </c>
      <c r="D59" s="13">
        <v>26373.200000000001</v>
      </c>
      <c r="E59" s="13">
        <v>26210.05</v>
      </c>
      <c r="F59" t="s">
        <v>1239</v>
      </c>
      <c r="G59" s="4">
        <v>-3.0000000000000001E-3</v>
      </c>
    </row>
    <row r="60" spans="1:7" x14ac:dyDescent="0.3">
      <c r="A60" s="25">
        <v>46024</v>
      </c>
      <c r="B60" s="13">
        <v>26328.55</v>
      </c>
      <c r="C60" s="13">
        <v>26155.1</v>
      </c>
      <c r="D60" s="13">
        <v>26340</v>
      </c>
      <c r="E60" s="13">
        <v>26118.400000000001</v>
      </c>
      <c r="F60" t="s">
        <v>1238</v>
      </c>
      <c r="G60" s="4">
        <v>7.0000000000000001E-3</v>
      </c>
    </row>
    <row r="61" spans="1:7" x14ac:dyDescent="0.3">
      <c r="A61" s="25">
        <v>46023</v>
      </c>
      <c r="B61" s="13">
        <v>26146.55</v>
      </c>
      <c r="C61" s="13">
        <v>26173.3</v>
      </c>
      <c r="D61" s="13">
        <v>26197.55</v>
      </c>
      <c r="E61" s="13">
        <v>26113.4</v>
      </c>
      <c r="F61" t="s">
        <v>1237</v>
      </c>
      <c r="G61" s="4">
        <v>5.9999999999999995E-4</v>
      </c>
    </row>
    <row r="62" spans="1:7" x14ac:dyDescent="0.3">
      <c r="A62" s="25">
        <v>46022</v>
      </c>
      <c r="B62" s="13">
        <v>26129.599999999999</v>
      </c>
      <c r="C62" s="13">
        <v>25971.05</v>
      </c>
      <c r="D62" s="13">
        <v>26187.95</v>
      </c>
      <c r="E62" s="13">
        <v>25969</v>
      </c>
      <c r="F62" t="s">
        <v>1236</v>
      </c>
      <c r="G62" s="4">
        <v>7.4000000000000003E-3</v>
      </c>
    </row>
    <row r="63" spans="1:7" x14ac:dyDescent="0.3">
      <c r="A63" s="25">
        <v>46021</v>
      </c>
      <c r="B63" s="13">
        <v>25938.85</v>
      </c>
      <c r="C63" s="13">
        <v>25940.9</v>
      </c>
      <c r="D63" s="13">
        <v>25976.75</v>
      </c>
      <c r="E63" s="13">
        <v>25878</v>
      </c>
      <c r="F63" t="s">
        <v>1235</v>
      </c>
      <c r="G63" s="4">
        <v>-1E-4</v>
      </c>
    </row>
    <row r="64" spans="1:7" x14ac:dyDescent="0.3">
      <c r="A64" s="25">
        <v>46020</v>
      </c>
      <c r="B64" s="13">
        <v>25942.1</v>
      </c>
      <c r="C64" s="13">
        <v>26063.35</v>
      </c>
      <c r="D64" s="13">
        <v>26106.799999999999</v>
      </c>
      <c r="E64" s="13">
        <v>25920.3</v>
      </c>
      <c r="F64" t="s">
        <v>1234</v>
      </c>
      <c r="G64" s="4">
        <v>-3.8E-3</v>
      </c>
    </row>
    <row r="65" spans="1:7" x14ac:dyDescent="0.3">
      <c r="A65" s="25">
        <v>46017</v>
      </c>
      <c r="B65" s="13">
        <v>26042.3</v>
      </c>
      <c r="C65" s="13">
        <v>26121.25</v>
      </c>
      <c r="D65" s="13">
        <v>26144.2</v>
      </c>
      <c r="E65" s="13">
        <v>26008.6</v>
      </c>
      <c r="F65" t="s">
        <v>1233</v>
      </c>
      <c r="G65" s="4">
        <v>-3.8E-3</v>
      </c>
    </row>
    <row r="66" spans="1:7" x14ac:dyDescent="0.3">
      <c r="A66" s="25">
        <v>46015</v>
      </c>
      <c r="B66" s="13">
        <v>26142.1</v>
      </c>
      <c r="C66" s="13">
        <v>26170.65</v>
      </c>
      <c r="D66" s="13">
        <v>26236.400000000001</v>
      </c>
      <c r="E66" s="13">
        <v>26123</v>
      </c>
      <c r="F66" t="s">
        <v>1232</v>
      </c>
      <c r="G66" s="4">
        <v>-1.2999999999999999E-3</v>
      </c>
    </row>
    <row r="67" spans="1:7" x14ac:dyDescent="0.3">
      <c r="A67" s="25">
        <v>46014</v>
      </c>
      <c r="B67" s="13">
        <v>26177.15</v>
      </c>
      <c r="C67" s="13">
        <v>26205.200000000001</v>
      </c>
      <c r="D67" s="13">
        <v>26233.55</v>
      </c>
      <c r="E67" s="13">
        <v>26119.05</v>
      </c>
      <c r="F67" t="s">
        <v>1231</v>
      </c>
      <c r="G67" s="4">
        <v>2.0000000000000001E-4</v>
      </c>
    </row>
    <row r="68" spans="1:7" x14ac:dyDescent="0.3">
      <c r="A68" s="25">
        <v>46013</v>
      </c>
      <c r="B68" s="13">
        <v>26172.400000000001</v>
      </c>
      <c r="C68" s="13">
        <v>26055.85</v>
      </c>
      <c r="D68" s="13">
        <v>26180.7</v>
      </c>
      <c r="E68" s="13">
        <v>26047.8</v>
      </c>
      <c r="F68" t="s">
        <v>1230</v>
      </c>
      <c r="G68" s="4">
        <v>7.9000000000000008E-3</v>
      </c>
    </row>
    <row r="69" spans="1:7" x14ac:dyDescent="0.3">
      <c r="A69" s="25">
        <v>46010</v>
      </c>
      <c r="B69" s="13">
        <v>25966.400000000001</v>
      </c>
      <c r="C69" s="13">
        <v>25911.5</v>
      </c>
      <c r="D69" s="13">
        <v>25993.35</v>
      </c>
      <c r="E69" s="13">
        <v>25880.45</v>
      </c>
      <c r="F69" t="s">
        <v>1229</v>
      </c>
      <c r="G69" s="4">
        <v>5.7999999999999996E-3</v>
      </c>
    </row>
    <row r="70" spans="1:7" x14ac:dyDescent="0.3">
      <c r="A70" s="25">
        <v>46009</v>
      </c>
      <c r="B70" s="13">
        <v>25815.55</v>
      </c>
      <c r="C70" s="13">
        <v>25764.7</v>
      </c>
      <c r="D70" s="13">
        <v>25902.35</v>
      </c>
      <c r="E70" s="13">
        <v>25726.3</v>
      </c>
      <c r="F70" t="s">
        <v>1228</v>
      </c>
      <c r="G70" s="4">
        <v>-1E-4</v>
      </c>
    </row>
    <row r="71" spans="1:7" x14ac:dyDescent="0.3">
      <c r="A71" s="25">
        <v>46008</v>
      </c>
      <c r="B71" s="13">
        <v>25818.55</v>
      </c>
      <c r="C71" s="13">
        <v>25902.400000000001</v>
      </c>
      <c r="D71" s="13">
        <v>25929.15</v>
      </c>
      <c r="E71" s="13">
        <v>25770.35</v>
      </c>
      <c r="F71" t="s">
        <v>1227</v>
      </c>
      <c r="G71" s="4">
        <v>-1.6000000000000001E-3</v>
      </c>
    </row>
    <row r="72" spans="1:7" x14ac:dyDescent="0.3">
      <c r="A72" s="25">
        <v>46007</v>
      </c>
      <c r="B72" s="13">
        <v>25860.1</v>
      </c>
      <c r="C72" s="13">
        <v>25951.5</v>
      </c>
      <c r="D72" s="13">
        <v>25980.75</v>
      </c>
      <c r="E72" s="13">
        <v>25834.35</v>
      </c>
      <c r="F72" t="s">
        <v>1226</v>
      </c>
      <c r="G72" s="4">
        <v>-6.4000000000000003E-3</v>
      </c>
    </row>
    <row r="73" spans="1:7" x14ac:dyDescent="0.3">
      <c r="A73" s="25">
        <v>46006</v>
      </c>
      <c r="B73" s="13">
        <v>26027.3</v>
      </c>
      <c r="C73" s="13">
        <v>25930.05</v>
      </c>
      <c r="D73" s="13">
        <v>26047.15</v>
      </c>
      <c r="E73" s="13">
        <v>25904.75</v>
      </c>
      <c r="F73" t="s">
        <v>1225</v>
      </c>
      <c r="G73" s="4">
        <v>-8.0000000000000004E-4</v>
      </c>
    </row>
    <row r="74" spans="1:7" x14ac:dyDescent="0.3">
      <c r="A74" s="25">
        <v>46003</v>
      </c>
      <c r="B74" s="13">
        <v>26046.95</v>
      </c>
      <c r="C74" s="13">
        <v>25971.200000000001</v>
      </c>
      <c r="D74" s="13">
        <v>26057.599999999999</v>
      </c>
      <c r="E74" s="13">
        <v>25938.45</v>
      </c>
      <c r="F74" t="s">
        <v>1224</v>
      </c>
      <c r="G74" s="4">
        <v>5.7000000000000002E-3</v>
      </c>
    </row>
    <row r="75" spans="1:7" x14ac:dyDescent="0.3">
      <c r="A75" s="25">
        <v>46002</v>
      </c>
      <c r="B75" s="13">
        <v>25898.55</v>
      </c>
      <c r="C75" s="13">
        <v>25771.4</v>
      </c>
      <c r="D75" s="13">
        <v>25922.799999999999</v>
      </c>
      <c r="E75" s="13">
        <v>25693.25</v>
      </c>
      <c r="F75" t="s">
        <v>1223</v>
      </c>
      <c r="G75" s="4">
        <v>5.4999999999999997E-3</v>
      </c>
    </row>
    <row r="76" spans="1:7" x14ac:dyDescent="0.3">
      <c r="A76" s="25">
        <v>46001</v>
      </c>
      <c r="B76" s="13">
        <v>25758</v>
      </c>
      <c r="C76" s="13">
        <v>25864.05</v>
      </c>
      <c r="D76" s="13">
        <v>25947.65</v>
      </c>
      <c r="E76" s="13">
        <v>25734.55</v>
      </c>
      <c r="F76" t="s">
        <v>1222</v>
      </c>
      <c r="G76" s="4">
        <v>-3.2000000000000002E-3</v>
      </c>
    </row>
    <row r="77" spans="1:7" x14ac:dyDescent="0.3">
      <c r="A77" s="25">
        <v>46000</v>
      </c>
      <c r="B77" s="13">
        <v>25839.65</v>
      </c>
      <c r="C77" s="13">
        <v>25867.1</v>
      </c>
      <c r="D77" s="13">
        <v>25923.65</v>
      </c>
      <c r="E77" s="13">
        <v>25728</v>
      </c>
      <c r="F77" t="s">
        <v>1221</v>
      </c>
      <c r="G77" s="4">
        <v>-4.7000000000000002E-3</v>
      </c>
    </row>
    <row r="78" spans="1:7" x14ac:dyDescent="0.3">
      <c r="A78" s="25">
        <v>45999</v>
      </c>
      <c r="B78" s="13">
        <v>25960.55</v>
      </c>
      <c r="C78" s="13">
        <v>26159.8</v>
      </c>
      <c r="D78" s="13">
        <v>26178.7</v>
      </c>
      <c r="E78" s="13">
        <v>25892.25</v>
      </c>
      <c r="F78" t="s">
        <v>1220</v>
      </c>
      <c r="G78" s="4">
        <v>-8.6E-3</v>
      </c>
    </row>
    <row r="79" spans="1:7" x14ac:dyDescent="0.3">
      <c r="A79" s="25">
        <v>45996</v>
      </c>
      <c r="B79" s="13">
        <v>26186.45</v>
      </c>
      <c r="C79" s="13">
        <v>25999.8</v>
      </c>
      <c r="D79" s="13">
        <v>26202.6</v>
      </c>
      <c r="E79" s="13">
        <v>25985.35</v>
      </c>
      <c r="F79" t="s">
        <v>1219</v>
      </c>
      <c r="G79" s="4">
        <v>5.8999999999999999E-3</v>
      </c>
    </row>
    <row r="80" spans="1:7" x14ac:dyDescent="0.3">
      <c r="A80" s="25">
        <v>45995</v>
      </c>
      <c r="B80" s="13">
        <v>26033.75</v>
      </c>
      <c r="C80" s="13">
        <v>25981.85</v>
      </c>
      <c r="D80" s="13">
        <v>26098.25</v>
      </c>
      <c r="E80" s="13">
        <v>25938.95</v>
      </c>
      <c r="F80" t="s">
        <v>1218</v>
      </c>
      <c r="G80" s="4">
        <v>1.8E-3</v>
      </c>
    </row>
    <row r="81" spans="1:7" x14ac:dyDescent="0.3">
      <c r="A81" s="25">
        <v>45994</v>
      </c>
      <c r="B81" s="13">
        <v>25986</v>
      </c>
      <c r="C81" s="13">
        <v>26004.9</v>
      </c>
      <c r="D81" s="13">
        <v>26066.45</v>
      </c>
      <c r="E81" s="13">
        <v>25891</v>
      </c>
      <c r="F81" t="s">
        <v>1217</v>
      </c>
      <c r="G81" s="4">
        <v>-1.8E-3</v>
      </c>
    </row>
    <row r="82" spans="1:7" x14ac:dyDescent="0.3">
      <c r="A82" s="25">
        <v>45993</v>
      </c>
      <c r="B82" s="13">
        <v>26032.2</v>
      </c>
      <c r="C82" s="13">
        <v>26087.95</v>
      </c>
      <c r="D82" s="13">
        <v>26154.6</v>
      </c>
      <c r="E82" s="13">
        <v>25997.85</v>
      </c>
      <c r="F82" t="s">
        <v>1216</v>
      </c>
      <c r="G82" s="4">
        <v>-5.4999999999999997E-3</v>
      </c>
    </row>
    <row r="83" spans="1:7" x14ac:dyDescent="0.3">
      <c r="A83" s="25">
        <v>45992</v>
      </c>
      <c r="B83" s="13">
        <v>26175.75</v>
      </c>
      <c r="C83" s="13">
        <v>26325.8</v>
      </c>
      <c r="D83" s="13">
        <v>26325.8</v>
      </c>
      <c r="E83" s="13">
        <v>26124.2</v>
      </c>
      <c r="F83" t="s">
        <v>1215</v>
      </c>
      <c r="G83" s="4">
        <v>-1E-3</v>
      </c>
    </row>
    <row r="84" spans="1:7" x14ac:dyDescent="0.3">
      <c r="A84" s="25">
        <v>45989</v>
      </c>
      <c r="B84" s="13">
        <v>26202.95</v>
      </c>
      <c r="C84" s="13">
        <v>26237.45</v>
      </c>
      <c r="D84" s="13">
        <v>26280.75</v>
      </c>
      <c r="E84" s="13">
        <v>26172.400000000001</v>
      </c>
      <c r="F84" t="s">
        <v>1214</v>
      </c>
      <c r="G84" s="4">
        <v>-5.0000000000000001E-4</v>
      </c>
    </row>
    <row r="85" spans="1:7" x14ac:dyDescent="0.3">
      <c r="A85" s="25">
        <v>45988</v>
      </c>
      <c r="B85" s="13">
        <v>26215.55</v>
      </c>
      <c r="C85" s="13">
        <v>26261.25</v>
      </c>
      <c r="D85" s="13">
        <v>26310.45</v>
      </c>
      <c r="E85" s="13">
        <v>26141.9</v>
      </c>
      <c r="F85" t="s">
        <v>1213</v>
      </c>
      <c r="G85" s="4">
        <v>4.0000000000000002E-4</v>
      </c>
    </row>
    <row r="86" spans="1:7" x14ac:dyDescent="0.3">
      <c r="A86" s="25">
        <v>45987</v>
      </c>
      <c r="B86" s="13">
        <v>26205.3</v>
      </c>
      <c r="C86" s="13">
        <v>25842.95</v>
      </c>
      <c r="D86" s="13">
        <v>26215.15</v>
      </c>
      <c r="E86" s="13">
        <v>25842.95</v>
      </c>
      <c r="F86" t="s">
        <v>1212</v>
      </c>
      <c r="G86" s="4">
        <v>1.24E-2</v>
      </c>
    </row>
    <row r="87" spans="1:7" x14ac:dyDescent="0.3">
      <c r="A87" s="25">
        <v>45986</v>
      </c>
      <c r="B87" s="13">
        <v>25884.799999999999</v>
      </c>
      <c r="C87" s="13">
        <v>25998.5</v>
      </c>
      <c r="D87" s="13">
        <v>26032.6</v>
      </c>
      <c r="E87" s="13">
        <v>25857.5</v>
      </c>
      <c r="F87" t="s">
        <v>1211</v>
      </c>
      <c r="G87" s="4">
        <v>-2.8999999999999998E-3</v>
      </c>
    </row>
    <row r="88" spans="1:7" x14ac:dyDescent="0.3">
      <c r="A88" s="25">
        <v>45985</v>
      </c>
      <c r="B88" s="13">
        <v>25959.5</v>
      </c>
      <c r="C88" s="13">
        <v>26122.799999999999</v>
      </c>
      <c r="D88" s="13">
        <v>26142.799999999999</v>
      </c>
      <c r="E88" s="13">
        <v>25912.15</v>
      </c>
      <c r="F88" t="s">
        <v>1210</v>
      </c>
      <c r="G88" s="4">
        <v>-4.1999999999999997E-3</v>
      </c>
    </row>
    <row r="89" spans="1:7" x14ac:dyDescent="0.3">
      <c r="A89" s="25">
        <v>45982</v>
      </c>
      <c r="B89" s="13">
        <v>26068.15</v>
      </c>
      <c r="C89" s="13">
        <v>26109.55</v>
      </c>
      <c r="D89" s="13">
        <v>26179.200000000001</v>
      </c>
      <c r="E89" s="13">
        <v>26052.2</v>
      </c>
      <c r="F89" t="s">
        <v>1209</v>
      </c>
      <c r="G89" s="4">
        <v>-4.7000000000000002E-3</v>
      </c>
    </row>
    <row r="90" spans="1:7" x14ac:dyDescent="0.3">
      <c r="A90" s="25">
        <v>45981</v>
      </c>
      <c r="B90" s="13">
        <v>26192.15</v>
      </c>
      <c r="C90" s="13">
        <v>26132.1</v>
      </c>
      <c r="D90" s="13">
        <v>26246.65</v>
      </c>
      <c r="E90" s="13">
        <v>26063.200000000001</v>
      </c>
      <c r="F90" t="s">
        <v>1208</v>
      </c>
      <c r="G90" s="4">
        <v>5.4000000000000003E-3</v>
      </c>
    </row>
    <row r="91" spans="1:7" x14ac:dyDescent="0.3">
      <c r="A91" s="25">
        <v>45980</v>
      </c>
      <c r="B91" s="13">
        <v>26052.65</v>
      </c>
      <c r="C91" s="13">
        <v>25918.1</v>
      </c>
      <c r="D91" s="13">
        <v>26074.65</v>
      </c>
      <c r="E91" s="13">
        <v>25856.2</v>
      </c>
      <c r="F91" t="s">
        <v>1207</v>
      </c>
      <c r="G91" s="4">
        <v>5.4999999999999997E-3</v>
      </c>
    </row>
    <row r="92" spans="1:7" x14ac:dyDescent="0.3">
      <c r="A92" s="25">
        <v>45979</v>
      </c>
      <c r="B92" s="13">
        <v>25910.05</v>
      </c>
      <c r="C92" s="13">
        <v>26021.8</v>
      </c>
      <c r="D92" s="13">
        <v>26029.85</v>
      </c>
      <c r="E92" s="13">
        <v>25876.5</v>
      </c>
      <c r="F92" t="s">
        <v>1206</v>
      </c>
      <c r="G92" s="4">
        <v>-4.0000000000000001E-3</v>
      </c>
    </row>
    <row r="93" spans="1:7" x14ac:dyDescent="0.3">
      <c r="A93" s="25">
        <v>45978</v>
      </c>
      <c r="B93" s="13">
        <v>26013.45</v>
      </c>
      <c r="C93" s="13">
        <v>25948.2</v>
      </c>
      <c r="D93" s="13">
        <v>26024.2</v>
      </c>
      <c r="E93" s="13">
        <v>25906.35</v>
      </c>
      <c r="F93" t="s">
        <v>1205</v>
      </c>
      <c r="G93" s="4">
        <v>4.0000000000000001E-3</v>
      </c>
    </row>
    <row r="94" spans="1:7" x14ac:dyDescent="0.3">
      <c r="A94" s="25">
        <v>45975</v>
      </c>
      <c r="B94" s="13">
        <v>25910.05</v>
      </c>
      <c r="C94" s="13">
        <v>25767.9</v>
      </c>
      <c r="D94" s="13">
        <v>25940.2</v>
      </c>
      <c r="E94" s="13">
        <v>25740.799999999999</v>
      </c>
      <c r="F94" t="s">
        <v>1204</v>
      </c>
      <c r="G94" s="4">
        <v>1.1999999999999999E-3</v>
      </c>
    </row>
    <row r="95" spans="1:7" x14ac:dyDescent="0.3">
      <c r="A95" s="25">
        <v>45974</v>
      </c>
      <c r="B95" s="13">
        <v>25879.15</v>
      </c>
      <c r="C95" s="13">
        <v>25906.1</v>
      </c>
      <c r="D95" s="13">
        <v>26010.7</v>
      </c>
      <c r="E95" s="13">
        <v>25808.400000000001</v>
      </c>
      <c r="F95" t="s">
        <v>1203</v>
      </c>
      <c r="G95" s="4">
        <v>1E-4</v>
      </c>
    </row>
    <row r="96" spans="1:7" x14ac:dyDescent="0.3">
      <c r="A96" s="25">
        <v>45973</v>
      </c>
      <c r="B96" s="13">
        <v>25875.8</v>
      </c>
      <c r="C96" s="13">
        <v>25834.3</v>
      </c>
      <c r="D96" s="13">
        <v>25934.55</v>
      </c>
      <c r="E96" s="13">
        <v>25781.15</v>
      </c>
      <c r="F96" t="s">
        <v>1202</v>
      </c>
      <c r="G96" s="4">
        <v>7.0000000000000001E-3</v>
      </c>
    </row>
    <row r="97" spans="1:7" x14ac:dyDescent="0.3">
      <c r="A97" s="25">
        <v>45972</v>
      </c>
      <c r="B97" s="13">
        <v>25694.95</v>
      </c>
      <c r="C97" s="13">
        <v>25617</v>
      </c>
      <c r="D97" s="13">
        <v>25715.8</v>
      </c>
      <c r="E97" s="13">
        <v>25449.25</v>
      </c>
      <c r="F97" t="s">
        <v>1201</v>
      </c>
      <c r="G97" s="4">
        <v>4.7000000000000002E-3</v>
      </c>
    </row>
    <row r="98" spans="1:7" x14ac:dyDescent="0.3">
      <c r="A98" s="25">
        <v>45971</v>
      </c>
      <c r="B98" s="13">
        <v>25574.35</v>
      </c>
      <c r="C98" s="13">
        <v>25503.5</v>
      </c>
      <c r="D98" s="13">
        <v>25653.45</v>
      </c>
      <c r="E98" s="13">
        <v>25503.5</v>
      </c>
      <c r="F98" t="s">
        <v>1200</v>
      </c>
      <c r="G98" s="4">
        <v>3.2000000000000002E-3</v>
      </c>
    </row>
    <row r="99" spans="1:7" x14ac:dyDescent="0.3">
      <c r="A99" s="25">
        <v>45968</v>
      </c>
      <c r="B99" s="13">
        <v>25492.3</v>
      </c>
      <c r="C99" s="13">
        <v>25433.8</v>
      </c>
      <c r="D99" s="13">
        <v>25551.25</v>
      </c>
      <c r="E99" s="13">
        <v>25318.45</v>
      </c>
      <c r="F99" t="s">
        <v>1199</v>
      </c>
      <c r="G99" s="4">
        <v>-6.9999999999999999E-4</v>
      </c>
    </row>
    <row r="100" spans="1:7" x14ac:dyDescent="0.3">
      <c r="A100" s="25">
        <v>45967</v>
      </c>
      <c r="B100" s="13">
        <v>25509.7</v>
      </c>
      <c r="C100" s="13">
        <v>25593.35</v>
      </c>
      <c r="D100" s="13">
        <v>25679.15</v>
      </c>
      <c r="E100" s="13">
        <v>25491.55</v>
      </c>
      <c r="F100" t="s">
        <v>1198</v>
      </c>
      <c r="G100" s="4">
        <v>-3.3999999999999998E-3</v>
      </c>
    </row>
    <row r="101" spans="1:7" x14ac:dyDescent="0.3">
      <c r="A101" s="25">
        <v>45965</v>
      </c>
      <c r="B101" s="13">
        <v>25597.65</v>
      </c>
      <c r="C101" s="13">
        <v>25744.75</v>
      </c>
      <c r="D101" s="13">
        <v>25787.4</v>
      </c>
      <c r="E101" s="13">
        <v>25578.400000000001</v>
      </c>
      <c r="F101" t="s">
        <v>1197</v>
      </c>
      <c r="G101" s="4">
        <v>-6.4000000000000003E-3</v>
      </c>
    </row>
    <row r="102" spans="1:7" x14ac:dyDescent="0.3">
      <c r="A102" s="25">
        <v>45964</v>
      </c>
      <c r="B102" s="13">
        <v>25763.35</v>
      </c>
      <c r="C102" s="13">
        <v>25696.85</v>
      </c>
      <c r="D102" s="13">
        <v>25803.1</v>
      </c>
      <c r="E102" s="13">
        <v>25645.5</v>
      </c>
      <c r="F102" t="s">
        <v>1196</v>
      </c>
      <c r="G102" s="4">
        <v>1.6000000000000001E-3</v>
      </c>
    </row>
    <row r="103" spans="1:7" x14ac:dyDescent="0.3">
      <c r="A103" s="25">
        <v>45961</v>
      </c>
      <c r="B103" s="13">
        <v>25722.1</v>
      </c>
      <c r="C103" s="13">
        <v>25863.8</v>
      </c>
      <c r="D103" s="13">
        <v>25953.75</v>
      </c>
      <c r="E103" s="13">
        <v>25711.200000000001</v>
      </c>
      <c r="F103" t="s">
        <v>1195</v>
      </c>
      <c r="G103" s="4">
        <v>-6.0000000000000001E-3</v>
      </c>
    </row>
    <row r="104" spans="1:7" x14ac:dyDescent="0.3">
      <c r="A104" s="25">
        <v>45960</v>
      </c>
      <c r="B104" s="13">
        <v>25877.85</v>
      </c>
      <c r="C104" s="13">
        <v>25984.400000000001</v>
      </c>
      <c r="D104" s="13">
        <v>26032.05</v>
      </c>
      <c r="E104" s="13">
        <v>25845.25</v>
      </c>
      <c r="F104" t="s">
        <v>1013</v>
      </c>
      <c r="G104" s="4">
        <v>-6.7999999999999996E-3</v>
      </c>
    </row>
    <row r="105" spans="1:7" x14ac:dyDescent="0.3">
      <c r="A105" s="25">
        <v>45959</v>
      </c>
      <c r="B105" s="13">
        <v>26053.9</v>
      </c>
      <c r="C105" s="13">
        <v>25982</v>
      </c>
      <c r="D105" s="13">
        <v>26097.85</v>
      </c>
      <c r="E105" s="13">
        <v>25960.3</v>
      </c>
      <c r="F105" t="s">
        <v>1194</v>
      </c>
      <c r="G105" s="4">
        <v>4.4999999999999997E-3</v>
      </c>
    </row>
    <row r="106" spans="1:7" x14ac:dyDescent="0.3">
      <c r="A106" s="25">
        <v>45958</v>
      </c>
      <c r="B106" s="13">
        <v>25936.2</v>
      </c>
      <c r="C106" s="13">
        <v>25939.95</v>
      </c>
      <c r="D106" s="13">
        <v>26041.7</v>
      </c>
      <c r="E106" s="13">
        <v>25810.05</v>
      </c>
      <c r="F106" t="s">
        <v>1193</v>
      </c>
      <c r="G106" s="4">
        <v>-1.1000000000000001E-3</v>
      </c>
    </row>
    <row r="107" spans="1:7" x14ac:dyDescent="0.3">
      <c r="A107" s="25">
        <v>45957</v>
      </c>
      <c r="B107" s="13">
        <v>25966.05</v>
      </c>
      <c r="C107" s="13">
        <v>25843.200000000001</v>
      </c>
      <c r="D107" s="13">
        <v>26005.95</v>
      </c>
      <c r="E107" s="13">
        <v>25827</v>
      </c>
      <c r="F107" t="s">
        <v>1192</v>
      </c>
      <c r="G107" s="4">
        <v>6.6E-3</v>
      </c>
    </row>
    <row r="108" spans="1:7" x14ac:dyDescent="0.3">
      <c r="A108" s="25">
        <v>45954</v>
      </c>
      <c r="B108" s="13">
        <v>25795.15</v>
      </c>
      <c r="C108" s="13">
        <v>25935.1</v>
      </c>
      <c r="D108" s="13">
        <v>25944.15</v>
      </c>
      <c r="E108" s="13">
        <v>25718.2</v>
      </c>
      <c r="F108" t="s">
        <v>1191</v>
      </c>
      <c r="G108" s="4">
        <v>-3.7000000000000002E-3</v>
      </c>
    </row>
    <row r="109" spans="1:7" x14ac:dyDescent="0.3">
      <c r="A109" s="25">
        <v>45953</v>
      </c>
      <c r="B109" s="13">
        <v>25891.4</v>
      </c>
      <c r="C109" s="13">
        <v>26057.200000000001</v>
      </c>
      <c r="D109" s="13">
        <v>26104.2</v>
      </c>
      <c r="E109" s="13">
        <v>25862.45</v>
      </c>
      <c r="F109" t="s">
        <v>1190</v>
      </c>
      <c r="G109" s="4">
        <v>8.9999999999999998E-4</v>
      </c>
    </row>
    <row r="110" spans="1:7" x14ac:dyDescent="0.3">
      <c r="A110" s="25">
        <v>45951</v>
      </c>
      <c r="B110" s="13">
        <v>25868.6</v>
      </c>
      <c r="C110" s="13">
        <v>25901.200000000001</v>
      </c>
      <c r="D110" s="13">
        <v>25934.35</v>
      </c>
      <c r="E110" s="13">
        <v>25825.8</v>
      </c>
      <c r="F110" t="s">
        <v>1189</v>
      </c>
      <c r="G110" s="4">
        <v>1E-3</v>
      </c>
    </row>
    <row r="111" spans="1:7" x14ac:dyDescent="0.3">
      <c r="A111" s="25">
        <v>45950</v>
      </c>
      <c r="B111" s="13">
        <v>25843.15</v>
      </c>
      <c r="C111" s="13">
        <v>25824.6</v>
      </c>
      <c r="D111" s="13">
        <v>25926.2</v>
      </c>
      <c r="E111" s="13">
        <v>25788.5</v>
      </c>
      <c r="F111" t="s">
        <v>1188</v>
      </c>
      <c r="G111" s="4">
        <v>5.1999999999999998E-3</v>
      </c>
    </row>
    <row r="112" spans="1:7" x14ac:dyDescent="0.3">
      <c r="A112" s="25">
        <v>45947</v>
      </c>
      <c r="B112" s="13">
        <v>25709.85</v>
      </c>
      <c r="C112" s="13">
        <v>25546.85</v>
      </c>
      <c r="D112" s="13">
        <v>25781.5</v>
      </c>
      <c r="E112" s="13">
        <v>25508.6</v>
      </c>
      <c r="F112" t="s">
        <v>1187</v>
      </c>
      <c r="G112" s="4">
        <v>4.8999999999999998E-3</v>
      </c>
    </row>
    <row r="113" spans="1:7" x14ac:dyDescent="0.3">
      <c r="A113" s="25">
        <v>45946</v>
      </c>
      <c r="B113" s="13">
        <v>25585.3</v>
      </c>
      <c r="C113" s="13">
        <v>25394.9</v>
      </c>
      <c r="D113" s="13">
        <v>25625.4</v>
      </c>
      <c r="E113" s="13">
        <v>25376.85</v>
      </c>
      <c r="F113" t="s">
        <v>1186</v>
      </c>
      <c r="G113" s="4">
        <v>1.03E-2</v>
      </c>
    </row>
    <row r="114" spans="1:7" x14ac:dyDescent="0.3">
      <c r="A114" s="25">
        <v>45945</v>
      </c>
      <c r="B114" s="13">
        <v>25323.55</v>
      </c>
      <c r="C114" s="13">
        <v>25181.95</v>
      </c>
      <c r="D114" s="13">
        <v>25365.15</v>
      </c>
      <c r="E114" s="13">
        <v>25159.35</v>
      </c>
      <c r="F114" t="s">
        <v>1185</v>
      </c>
      <c r="G114" s="4">
        <v>7.1000000000000004E-3</v>
      </c>
    </row>
    <row r="115" spans="1:7" x14ac:dyDescent="0.3">
      <c r="A115" s="25">
        <v>45944</v>
      </c>
      <c r="B115" s="13">
        <v>25145.5</v>
      </c>
      <c r="C115" s="13">
        <v>25277.55</v>
      </c>
      <c r="D115" s="13">
        <v>25310.35</v>
      </c>
      <c r="E115" s="13">
        <v>25060.55</v>
      </c>
      <c r="F115" t="s">
        <v>1184</v>
      </c>
      <c r="G115" s="4">
        <v>-3.2000000000000002E-3</v>
      </c>
    </row>
    <row r="116" spans="1:7" x14ac:dyDescent="0.3">
      <c r="A116" s="25">
        <v>45943</v>
      </c>
      <c r="B116" s="13">
        <v>25227.35</v>
      </c>
      <c r="C116" s="13">
        <v>25177.3</v>
      </c>
      <c r="D116" s="13">
        <v>25267.3</v>
      </c>
      <c r="E116" s="13">
        <v>25152.3</v>
      </c>
      <c r="F116" t="s">
        <v>1183</v>
      </c>
      <c r="G116" s="4">
        <v>-2.3E-3</v>
      </c>
    </row>
    <row r="117" spans="1:7" x14ac:dyDescent="0.3">
      <c r="A117" s="25">
        <v>45940</v>
      </c>
      <c r="B117" s="13">
        <v>25285.35</v>
      </c>
      <c r="C117" s="13">
        <v>25167.65</v>
      </c>
      <c r="D117" s="13">
        <v>25330.75</v>
      </c>
      <c r="E117" s="13">
        <v>25156.85</v>
      </c>
      <c r="F117" t="s">
        <v>1182</v>
      </c>
      <c r="G117" s="4">
        <v>4.1000000000000003E-3</v>
      </c>
    </row>
    <row r="118" spans="1:7" x14ac:dyDescent="0.3">
      <c r="A118" s="25">
        <v>45939</v>
      </c>
      <c r="B118" s="13">
        <v>25181.8</v>
      </c>
      <c r="C118" s="13">
        <v>25074.3</v>
      </c>
      <c r="D118" s="13">
        <v>25199.25</v>
      </c>
      <c r="E118" s="13">
        <v>25024.3</v>
      </c>
      <c r="F118" t="s">
        <v>1181</v>
      </c>
      <c r="G118" s="4">
        <v>5.4000000000000003E-3</v>
      </c>
    </row>
    <row r="119" spans="1:7" x14ac:dyDescent="0.3">
      <c r="A119" s="25">
        <v>45938</v>
      </c>
      <c r="B119" s="13">
        <v>25046.15</v>
      </c>
      <c r="C119" s="13">
        <v>25079.75</v>
      </c>
      <c r="D119" s="13">
        <v>25192.5</v>
      </c>
      <c r="E119" s="13">
        <v>25008.5</v>
      </c>
      <c r="F119" t="s">
        <v>1180</v>
      </c>
      <c r="G119" s="4">
        <v>-2.5000000000000001E-3</v>
      </c>
    </row>
    <row r="120" spans="1:7" x14ac:dyDescent="0.3">
      <c r="A120" s="25">
        <v>45937</v>
      </c>
      <c r="B120" s="13">
        <v>25108.3</v>
      </c>
      <c r="C120" s="13">
        <v>25085.3</v>
      </c>
      <c r="D120" s="13">
        <v>25220.9</v>
      </c>
      <c r="E120" s="13">
        <v>25076.3</v>
      </c>
      <c r="F120" t="s">
        <v>176</v>
      </c>
      <c r="G120" s="4">
        <v>1.1999999999999999E-3</v>
      </c>
    </row>
    <row r="121" spans="1:7" x14ac:dyDescent="0.3">
      <c r="A121" s="25">
        <v>45936</v>
      </c>
      <c r="B121" s="13">
        <v>25077.65</v>
      </c>
      <c r="C121" s="13">
        <v>24916.55</v>
      </c>
      <c r="D121" s="13">
        <v>25095.95</v>
      </c>
      <c r="E121" s="13">
        <v>24881.65</v>
      </c>
      <c r="F121" t="s">
        <v>1179</v>
      </c>
      <c r="G121" s="4">
        <v>7.4000000000000003E-3</v>
      </c>
    </row>
    <row r="122" spans="1:7" x14ac:dyDescent="0.3">
      <c r="A122" s="25">
        <v>45933</v>
      </c>
      <c r="B122" s="13">
        <v>24894.25</v>
      </c>
      <c r="C122" s="13">
        <v>24759.55</v>
      </c>
      <c r="D122" s="13">
        <v>24904.799999999999</v>
      </c>
      <c r="E122" s="13">
        <v>24747.55</v>
      </c>
      <c r="F122" t="s">
        <v>1178</v>
      </c>
      <c r="G122" s="4">
        <v>2.3E-3</v>
      </c>
    </row>
    <row r="123" spans="1:7" x14ac:dyDescent="0.3">
      <c r="A123" s="25">
        <v>45931</v>
      </c>
      <c r="B123" s="13">
        <v>24836.3</v>
      </c>
      <c r="C123" s="13">
        <v>24620.55</v>
      </c>
      <c r="D123" s="13">
        <v>24867.95</v>
      </c>
      <c r="E123" s="13">
        <v>24605.95</v>
      </c>
      <c r="F123" t="s">
        <v>1177</v>
      </c>
      <c r="G123" s="4">
        <v>9.1999999999999998E-3</v>
      </c>
    </row>
    <row r="124" spans="1:7" x14ac:dyDescent="0.3">
      <c r="A124" s="25">
        <v>45930</v>
      </c>
      <c r="B124" s="13">
        <v>24611.1</v>
      </c>
      <c r="C124" s="13">
        <v>24691.95</v>
      </c>
      <c r="D124" s="13">
        <v>24731.8</v>
      </c>
      <c r="E124" s="13">
        <v>24587.7</v>
      </c>
      <c r="F124" t="s">
        <v>1176</v>
      </c>
      <c r="G124" s="4">
        <v>-1E-3</v>
      </c>
    </row>
    <row r="125" spans="1:7" x14ac:dyDescent="0.3">
      <c r="A125" s="25">
        <v>45929</v>
      </c>
      <c r="B125" s="13">
        <v>24634.9</v>
      </c>
      <c r="C125" s="13">
        <v>24728.55</v>
      </c>
      <c r="D125" s="13">
        <v>24791.3</v>
      </c>
      <c r="E125" s="13">
        <v>24606.2</v>
      </c>
      <c r="F125" t="s">
        <v>1175</v>
      </c>
      <c r="G125" s="4">
        <v>-8.0000000000000004E-4</v>
      </c>
    </row>
    <row r="126" spans="1:7" x14ac:dyDescent="0.3">
      <c r="A126" s="25">
        <v>45926</v>
      </c>
      <c r="B126" s="13">
        <v>24654.7</v>
      </c>
      <c r="C126" s="13">
        <v>24818.55</v>
      </c>
      <c r="D126" s="13">
        <v>24868.6</v>
      </c>
      <c r="E126" s="13">
        <v>24629.45</v>
      </c>
      <c r="F126" t="s">
        <v>1174</v>
      </c>
      <c r="G126" s="4">
        <v>-9.4999999999999998E-3</v>
      </c>
    </row>
    <row r="127" spans="1:7" x14ac:dyDescent="0.3">
      <c r="A127" s="25">
        <v>45925</v>
      </c>
      <c r="B127" s="13">
        <v>24890.85</v>
      </c>
      <c r="C127" s="13">
        <v>25034.5</v>
      </c>
      <c r="D127" s="13">
        <v>25092.7</v>
      </c>
      <c r="E127" s="13">
        <v>24878.3</v>
      </c>
      <c r="F127" t="s">
        <v>1173</v>
      </c>
      <c r="G127" s="4">
        <v>-6.6E-3</v>
      </c>
    </row>
    <row r="128" spans="1:7" x14ac:dyDescent="0.3">
      <c r="A128" s="25">
        <v>45924</v>
      </c>
      <c r="B128" s="13">
        <v>25056.9</v>
      </c>
      <c r="C128" s="13">
        <v>25108.75</v>
      </c>
      <c r="D128" s="13">
        <v>25149.85</v>
      </c>
      <c r="E128" s="13">
        <v>25027.45</v>
      </c>
      <c r="F128" t="s">
        <v>1172</v>
      </c>
      <c r="G128" s="4">
        <v>-4.4999999999999997E-3</v>
      </c>
    </row>
    <row r="129" spans="1:7" x14ac:dyDescent="0.3">
      <c r="A129" s="25">
        <v>45923</v>
      </c>
      <c r="B129" s="13">
        <v>25169.5</v>
      </c>
      <c r="C129" s="13">
        <v>25209</v>
      </c>
      <c r="D129" s="13">
        <v>25261.9</v>
      </c>
      <c r="E129" s="13">
        <v>25084.65</v>
      </c>
      <c r="F129" t="s">
        <v>802</v>
      </c>
      <c r="G129" s="4">
        <v>-1.2999999999999999E-3</v>
      </c>
    </row>
    <row r="130" spans="1:7" x14ac:dyDescent="0.3">
      <c r="A130" s="25">
        <v>45922</v>
      </c>
      <c r="B130" s="13">
        <v>25202.35</v>
      </c>
      <c r="C130" s="13">
        <v>25238.1</v>
      </c>
      <c r="D130" s="13">
        <v>25331.7</v>
      </c>
      <c r="E130" s="13">
        <v>25151.05</v>
      </c>
      <c r="F130" t="s">
        <v>1171</v>
      </c>
      <c r="G130" s="4">
        <v>-4.8999999999999998E-3</v>
      </c>
    </row>
    <row r="131" spans="1:7" x14ac:dyDescent="0.3">
      <c r="A131" s="25">
        <v>45919</v>
      </c>
      <c r="B131" s="13">
        <v>25327.05</v>
      </c>
      <c r="C131" s="13">
        <v>25410.2</v>
      </c>
      <c r="D131" s="13">
        <v>25428.75</v>
      </c>
      <c r="E131" s="13">
        <v>25286.3</v>
      </c>
      <c r="F131" t="s">
        <v>1170</v>
      </c>
      <c r="G131" s="4">
        <v>-3.8E-3</v>
      </c>
    </row>
    <row r="132" spans="1:7" x14ac:dyDescent="0.3">
      <c r="A132" s="25">
        <v>45918</v>
      </c>
      <c r="B132" s="13">
        <v>25423.599999999999</v>
      </c>
      <c r="C132" s="13">
        <v>25441.05</v>
      </c>
      <c r="D132" s="13">
        <v>25448.95</v>
      </c>
      <c r="E132" s="13">
        <v>25329.75</v>
      </c>
      <c r="F132" t="s">
        <v>1169</v>
      </c>
      <c r="G132" s="4">
        <v>3.7000000000000002E-3</v>
      </c>
    </row>
    <row r="133" spans="1:7" x14ac:dyDescent="0.3">
      <c r="A133" s="25">
        <v>45917</v>
      </c>
      <c r="B133" s="13">
        <v>25330.25</v>
      </c>
      <c r="C133" s="13">
        <v>25276.6</v>
      </c>
      <c r="D133" s="13">
        <v>25346.5</v>
      </c>
      <c r="E133" s="13">
        <v>25275.35</v>
      </c>
      <c r="F133" t="s">
        <v>1168</v>
      </c>
      <c r="G133" s="4">
        <v>3.5999999999999999E-3</v>
      </c>
    </row>
    <row r="134" spans="1:7" x14ac:dyDescent="0.3">
      <c r="A134" s="25">
        <v>45916</v>
      </c>
      <c r="B134" s="13">
        <v>25239.1</v>
      </c>
      <c r="C134" s="13">
        <v>25073.599999999999</v>
      </c>
      <c r="D134" s="13">
        <v>25261.4</v>
      </c>
      <c r="E134" s="13">
        <v>25070.45</v>
      </c>
      <c r="F134" t="s">
        <v>1167</v>
      </c>
      <c r="G134" s="4">
        <v>6.7999999999999996E-3</v>
      </c>
    </row>
    <row r="135" spans="1:7" x14ac:dyDescent="0.3">
      <c r="A135" s="25">
        <v>45915</v>
      </c>
      <c r="B135" s="13">
        <v>25069.200000000001</v>
      </c>
      <c r="C135" s="13">
        <v>25118.9</v>
      </c>
      <c r="D135" s="13">
        <v>25138.45</v>
      </c>
      <c r="E135" s="13">
        <v>25048.75</v>
      </c>
      <c r="F135" t="s">
        <v>1166</v>
      </c>
      <c r="G135" s="4">
        <v>-1.8E-3</v>
      </c>
    </row>
    <row r="136" spans="1:7" x14ac:dyDescent="0.3">
      <c r="A136" s="25">
        <v>45912</v>
      </c>
      <c r="B136" s="13">
        <v>25114</v>
      </c>
      <c r="C136" s="13">
        <v>25074.45</v>
      </c>
      <c r="D136" s="13">
        <v>25139.45</v>
      </c>
      <c r="E136" s="13">
        <v>25038.05</v>
      </c>
      <c r="F136" t="s">
        <v>1165</v>
      </c>
      <c r="G136" s="4">
        <v>4.3E-3</v>
      </c>
    </row>
    <row r="137" spans="1:7" x14ac:dyDescent="0.3">
      <c r="A137" s="25">
        <v>45911</v>
      </c>
      <c r="B137" s="13">
        <v>25005.5</v>
      </c>
      <c r="C137" s="13">
        <v>24945.5</v>
      </c>
      <c r="D137" s="13">
        <v>25037.3</v>
      </c>
      <c r="E137" s="13">
        <v>24940.15</v>
      </c>
      <c r="F137" t="s">
        <v>1164</v>
      </c>
      <c r="G137" s="4">
        <v>1.2999999999999999E-3</v>
      </c>
    </row>
    <row r="138" spans="1:7" x14ac:dyDescent="0.3">
      <c r="A138" s="25">
        <v>45910</v>
      </c>
      <c r="B138" s="13">
        <v>24973.1</v>
      </c>
      <c r="C138" s="13">
        <v>24991</v>
      </c>
      <c r="D138" s="13">
        <v>25035.7</v>
      </c>
      <c r="E138" s="13">
        <v>24915.05</v>
      </c>
      <c r="F138" t="s">
        <v>1163</v>
      </c>
      <c r="G138" s="4">
        <v>4.1999999999999997E-3</v>
      </c>
    </row>
    <row r="139" spans="1:7" x14ac:dyDescent="0.3">
      <c r="A139" s="25">
        <v>45909</v>
      </c>
      <c r="B139" s="13">
        <v>24868.6</v>
      </c>
      <c r="C139" s="13">
        <v>24864.1</v>
      </c>
      <c r="D139" s="13">
        <v>24891.8</v>
      </c>
      <c r="E139" s="13">
        <v>24814</v>
      </c>
      <c r="F139" t="s">
        <v>640</v>
      </c>
      <c r="G139" s="4">
        <v>3.8999999999999998E-3</v>
      </c>
    </row>
    <row r="140" spans="1:7" x14ac:dyDescent="0.3">
      <c r="A140" s="25">
        <v>45908</v>
      </c>
      <c r="B140" s="13">
        <v>24773.15</v>
      </c>
      <c r="C140" s="13">
        <v>24802.6</v>
      </c>
      <c r="D140" s="13">
        <v>24885.5</v>
      </c>
      <c r="E140" s="13">
        <v>24751.55</v>
      </c>
      <c r="F140" t="s">
        <v>1162</v>
      </c>
      <c r="G140" s="4">
        <v>1.2999999999999999E-3</v>
      </c>
    </row>
    <row r="141" spans="1:7" x14ac:dyDescent="0.3">
      <c r="A141" s="25">
        <v>45905</v>
      </c>
      <c r="B141" s="13">
        <v>24741</v>
      </c>
      <c r="C141" s="13">
        <v>24818.85</v>
      </c>
      <c r="D141" s="13">
        <v>24832.35</v>
      </c>
      <c r="E141" s="13">
        <v>24621.599999999999</v>
      </c>
      <c r="F141" t="s">
        <v>1161</v>
      </c>
      <c r="G141" s="4">
        <v>2.9999999999999997E-4</v>
      </c>
    </row>
    <row r="142" spans="1:7" x14ac:dyDescent="0.3">
      <c r="A142" s="25">
        <v>45904</v>
      </c>
      <c r="B142" s="13">
        <v>24734.3</v>
      </c>
      <c r="C142" s="13">
        <v>24980.75</v>
      </c>
      <c r="D142" s="13">
        <v>24980.75</v>
      </c>
      <c r="E142" s="13">
        <v>24708.2</v>
      </c>
      <c r="F142" t="s">
        <v>1160</v>
      </c>
      <c r="G142" s="4">
        <v>8.0000000000000004E-4</v>
      </c>
    </row>
    <row r="143" spans="1:7" x14ac:dyDescent="0.3">
      <c r="A143" s="25">
        <v>45903</v>
      </c>
      <c r="B143" s="13">
        <v>24715.05</v>
      </c>
      <c r="C143" s="13">
        <v>24616.5</v>
      </c>
      <c r="D143" s="13">
        <v>24737.05</v>
      </c>
      <c r="E143" s="13">
        <v>24533.200000000001</v>
      </c>
      <c r="F143" t="s">
        <v>1159</v>
      </c>
      <c r="G143" s="4">
        <v>5.4999999999999997E-3</v>
      </c>
    </row>
    <row r="144" spans="1:7" x14ac:dyDescent="0.3">
      <c r="A144" s="25">
        <v>45902</v>
      </c>
      <c r="B144" s="13">
        <v>24579.599999999999</v>
      </c>
      <c r="C144" s="13">
        <v>24653</v>
      </c>
      <c r="D144" s="13">
        <v>24756.1</v>
      </c>
      <c r="E144" s="13">
        <v>24522.35</v>
      </c>
      <c r="F144" t="s">
        <v>1158</v>
      </c>
      <c r="G144" s="4">
        <v>-1.8E-3</v>
      </c>
    </row>
    <row r="145" spans="1:7" x14ac:dyDescent="0.3">
      <c r="A145" s="25">
        <v>45901</v>
      </c>
      <c r="B145" s="13">
        <v>24625.05</v>
      </c>
      <c r="C145" s="13">
        <v>24432.7</v>
      </c>
      <c r="D145" s="13">
        <v>24635.599999999999</v>
      </c>
      <c r="E145" s="13">
        <v>24432.7</v>
      </c>
      <c r="F145" t="s">
        <v>1157</v>
      </c>
      <c r="G145" s="4">
        <v>8.0999999999999996E-3</v>
      </c>
    </row>
    <row r="146" spans="1:7" x14ac:dyDescent="0.3">
      <c r="A146" s="25">
        <v>45898</v>
      </c>
      <c r="B146" s="13">
        <v>24426.85</v>
      </c>
      <c r="C146" s="13">
        <v>24466.7</v>
      </c>
      <c r="D146" s="13">
        <v>24572.45</v>
      </c>
      <c r="E146" s="13">
        <v>24404.7</v>
      </c>
      <c r="F146" t="s">
        <v>1156</v>
      </c>
      <c r="G146" s="4">
        <v>-3.0000000000000001E-3</v>
      </c>
    </row>
    <row r="147" spans="1:7" x14ac:dyDescent="0.3">
      <c r="A147" s="25">
        <v>45897</v>
      </c>
      <c r="B147" s="13">
        <v>24500.9</v>
      </c>
      <c r="C147" s="13">
        <v>24695.8</v>
      </c>
      <c r="D147" s="13">
        <v>24702.65</v>
      </c>
      <c r="E147" s="13">
        <v>24481.599999999999</v>
      </c>
      <c r="F147" t="s">
        <v>1155</v>
      </c>
      <c r="G147" s="4">
        <v>-8.5000000000000006E-3</v>
      </c>
    </row>
    <row r="148" spans="1:7" x14ac:dyDescent="0.3">
      <c r="A148" s="25">
        <v>45895</v>
      </c>
      <c r="B148" s="13">
        <v>24712.05</v>
      </c>
      <c r="C148" s="13">
        <v>24899.5</v>
      </c>
      <c r="D148" s="13">
        <v>24919.65</v>
      </c>
      <c r="E148" s="13">
        <v>24689.599999999999</v>
      </c>
      <c r="F148" t="s">
        <v>1154</v>
      </c>
      <c r="G148" s="4">
        <v>-1.0200000000000001E-2</v>
      </c>
    </row>
    <row r="149" spans="1:7" x14ac:dyDescent="0.3">
      <c r="A149" s="25">
        <v>45894</v>
      </c>
      <c r="B149" s="13">
        <v>24967.75</v>
      </c>
      <c r="C149" s="13">
        <v>24949.15</v>
      </c>
      <c r="D149" s="13">
        <v>25021.55</v>
      </c>
      <c r="E149" s="13">
        <v>24894.35</v>
      </c>
      <c r="F149" t="s">
        <v>1153</v>
      </c>
      <c r="G149" s="4">
        <v>3.8999999999999998E-3</v>
      </c>
    </row>
    <row r="150" spans="1:7" x14ac:dyDescent="0.3">
      <c r="A150" s="25">
        <v>45891</v>
      </c>
      <c r="B150" s="13">
        <v>24870.1</v>
      </c>
      <c r="C150" s="13">
        <v>25064.15</v>
      </c>
      <c r="D150" s="13">
        <v>25084.85</v>
      </c>
      <c r="E150" s="13">
        <v>24859.15</v>
      </c>
      <c r="F150" t="s">
        <v>1152</v>
      </c>
      <c r="G150" s="4">
        <v>-8.5000000000000006E-3</v>
      </c>
    </row>
    <row r="151" spans="1:7" x14ac:dyDescent="0.3">
      <c r="A151" s="25">
        <v>45890</v>
      </c>
      <c r="B151" s="13">
        <v>25083.75</v>
      </c>
      <c r="C151" s="13">
        <v>25142</v>
      </c>
      <c r="D151" s="13">
        <v>25153.65</v>
      </c>
      <c r="E151" s="13">
        <v>25054.9</v>
      </c>
      <c r="F151" t="s">
        <v>1151</v>
      </c>
      <c r="G151" s="4">
        <v>1.2999999999999999E-3</v>
      </c>
    </row>
    <row r="152" spans="1:7" x14ac:dyDescent="0.3">
      <c r="A152" s="25">
        <v>45889</v>
      </c>
      <c r="B152" s="13">
        <v>25050.55</v>
      </c>
      <c r="C152" s="13">
        <v>24965.8</v>
      </c>
      <c r="D152" s="13">
        <v>25088.7</v>
      </c>
      <c r="E152" s="13">
        <v>24929.7</v>
      </c>
      <c r="F152" t="s">
        <v>1150</v>
      </c>
      <c r="G152" s="4">
        <v>2.8E-3</v>
      </c>
    </row>
    <row r="153" spans="1:7" x14ac:dyDescent="0.3">
      <c r="A153" s="25">
        <v>45888</v>
      </c>
      <c r="B153" s="13">
        <v>24980.65</v>
      </c>
      <c r="C153" s="13">
        <v>24891.35</v>
      </c>
      <c r="D153" s="13">
        <v>25012.65</v>
      </c>
      <c r="E153" s="13">
        <v>24873.95</v>
      </c>
      <c r="F153" t="s">
        <v>1149</v>
      </c>
      <c r="G153" s="4">
        <v>4.1999999999999997E-3</v>
      </c>
    </row>
    <row r="154" spans="1:7" x14ac:dyDescent="0.3">
      <c r="A154" s="25">
        <v>45887</v>
      </c>
      <c r="B154" s="13">
        <v>24876.95</v>
      </c>
      <c r="C154" s="13">
        <v>24938.2</v>
      </c>
      <c r="D154" s="13">
        <v>25022</v>
      </c>
      <c r="E154" s="13">
        <v>24852.85</v>
      </c>
      <c r="F154" t="s">
        <v>1148</v>
      </c>
      <c r="G154" s="4">
        <v>0.01</v>
      </c>
    </row>
    <row r="155" spans="1:7" x14ac:dyDescent="0.3">
      <c r="A155" s="25">
        <v>45883</v>
      </c>
      <c r="B155" s="13">
        <v>24631.3</v>
      </c>
      <c r="C155" s="13">
        <v>24607.25</v>
      </c>
      <c r="D155" s="13">
        <v>24673.65</v>
      </c>
      <c r="E155" s="13">
        <v>24596.9</v>
      </c>
      <c r="F155" t="s">
        <v>1147</v>
      </c>
      <c r="G155" s="4">
        <v>5.0000000000000001E-4</v>
      </c>
    </row>
    <row r="156" spans="1:7" x14ac:dyDescent="0.3">
      <c r="A156" s="25">
        <v>45882</v>
      </c>
      <c r="B156" s="13">
        <v>24619.35</v>
      </c>
      <c r="C156" s="13">
        <v>24586.2</v>
      </c>
      <c r="D156" s="13">
        <v>24664.55</v>
      </c>
      <c r="E156" s="13">
        <v>24535.25</v>
      </c>
      <c r="F156" t="s">
        <v>1146</v>
      </c>
      <c r="G156" s="4">
        <v>5.4000000000000003E-3</v>
      </c>
    </row>
    <row r="157" spans="1:7" x14ac:dyDescent="0.3">
      <c r="A157" s="25">
        <v>45881</v>
      </c>
      <c r="B157" s="13">
        <v>24487.4</v>
      </c>
      <c r="C157" s="13">
        <v>24563.35</v>
      </c>
      <c r="D157" s="13">
        <v>24702.6</v>
      </c>
      <c r="E157" s="13">
        <v>24465.65</v>
      </c>
      <c r="F157" t="s">
        <v>1145</v>
      </c>
      <c r="G157" s="4">
        <v>-4.0000000000000001E-3</v>
      </c>
    </row>
    <row r="158" spans="1:7" x14ac:dyDescent="0.3">
      <c r="A158" s="25">
        <v>45880</v>
      </c>
      <c r="B158" s="13">
        <v>24585.05</v>
      </c>
      <c r="C158" s="13">
        <v>24371.5</v>
      </c>
      <c r="D158" s="13">
        <v>24600.85</v>
      </c>
      <c r="E158" s="13">
        <v>24347.45</v>
      </c>
      <c r="F158" t="s">
        <v>1144</v>
      </c>
      <c r="G158" s="4">
        <v>9.1000000000000004E-3</v>
      </c>
    </row>
    <row r="159" spans="1:7" x14ac:dyDescent="0.3">
      <c r="A159" s="25">
        <v>45877</v>
      </c>
      <c r="B159" s="13">
        <v>24363.3</v>
      </c>
      <c r="C159" s="13">
        <v>24544.25</v>
      </c>
      <c r="D159" s="13">
        <v>24585.5</v>
      </c>
      <c r="E159" s="13">
        <v>24337.5</v>
      </c>
      <c r="F159" t="s">
        <v>1143</v>
      </c>
      <c r="G159" s="4">
        <v>-9.4999999999999998E-3</v>
      </c>
    </row>
    <row r="160" spans="1:7" x14ac:dyDescent="0.3">
      <c r="A160" s="25">
        <v>45876</v>
      </c>
      <c r="B160" s="13">
        <v>24596.15</v>
      </c>
      <c r="C160" s="13">
        <v>24464.2</v>
      </c>
      <c r="D160" s="13">
        <v>24634.2</v>
      </c>
      <c r="E160" s="13">
        <v>24344.15</v>
      </c>
      <c r="F160" t="s">
        <v>1142</v>
      </c>
      <c r="G160" s="4">
        <v>8.9999999999999998E-4</v>
      </c>
    </row>
    <row r="161" spans="1:7" x14ac:dyDescent="0.3">
      <c r="A161" s="25">
        <v>45875</v>
      </c>
      <c r="B161" s="13">
        <v>24574.2</v>
      </c>
      <c r="C161" s="13">
        <v>24641.35</v>
      </c>
      <c r="D161" s="13">
        <v>24671.4</v>
      </c>
      <c r="E161" s="13">
        <v>24539.200000000001</v>
      </c>
      <c r="F161" t="s">
        <v>1141</v>
      </c>
      <c r="G161" s="4">
        <v>-3.0999999999999999E-3</v>
      </c>
    </row>
    <row r="162" spans="1:7" x14ac:dyDescent="0.3">
      <c r="A162" s="25">
        <v>45874</v>
      </c>
      <c r="B162" s="13">
        <v>24649.55</v>
      </c>
      <c r="C162" s="13">
        <v>24720.25</v>
      </c>
      <c r="D162" s="13">
        <v>24733.1</v>
      </c>
      <c r="E162" s="13">
        <v>24590.3</v>
      </c>
      <c r="F162" t="s">
        <v>1140</v>
      </c>
      <c r="G162" s="4">
        <v>-3.0000000000000001E-3</v>
      </c>
    </row>
    <row r="163" spans="1:7" x14ac:dyDescent="0.3">
      <c r="A163" s="25">
        <v>45873</v>
      </c>
      <c r="B163" s="13">
        <v>24722.75</v>
      </c>
      <c r="C163" s="13">
        <v>24596.05</v>
      </c>
      <c r="D163" s="13">
        <v>24736.25</v>
      </c>
      <c r="E163" s="13">
        <v>24554</v>
      </c>
      <c r="F163" t="s">
        <v>1139</v>
      </c>
      <c r="G163" s="4">
        <v>6.4000000000000003E-3</v>
      </c>
    </row>
    <row r="164" spans="1:7" x14ac:dyDescent="0.3">
      <c r="A164" s="25">
        <v>45870</v>
      </c>
      <c r="B164" s="13">
        <v>24565.35</v>
      </c>
      <c r="C164" s="13">
        <v>24734.9</v>
      </c>
      <c r="D164" s="13">
        <v>24784.15</v>
      </c>
      <c r="E164" s="13">
        <v>24535.05</v>
      </c>
      <c r="F164" t="s">
        <v>1138</v>
      </c>
      <c r="G164" s="4">
        <v>-8.2000000000000007E-3</v>
      </c>
    </row>
    <row r="165" spans="1:7" x14ac:dyDescent="0.3">
      <c r="A165" s="25">
        <v>45869</v>
      </c>
      <c r="B165" s="13">
        <v>24768.35</v>
      </c>
      <c r="C165" s="13">
        <v>24642.25</v>
      </c>
      <c r="D165" s="13">
        <v>24956.5</v>
      </c>
      <c r="E165" s="13">
        <v>24635</v>
      </c>
      <c r="F165" t="s">
        <v>1137</v>
      </c>
      <c r="G165" s="4">
        <v>-3.5000000000000001E-3</v>
      </c>
    </row>
    <row r="166" spans="1:7" x14ac:dyDescent="0.3">
      <c r="A166" s="25">
        <v>45868</v>
      </c>
      <c r="B166" s="13">
        <v>24855.05</v>
      </c>
      <c r="C166" s="13">
        <v>24890.400000000001</v>
      </c>
      <c r="D166" s="13">
        <v>24902.3</v>
      </c>
      <c r="E166" s="13">
        <v>24771.95</v>
      </c>
      <c r="F166" t="s">
        <v>1136</v>
      </c>
      <c r="G166" s="4">
        <v>1.4E-3</v>
      </c>
    </row>
    <row r="167" spans="1:7" x14ac:dyDescent="0.3">
      <c r="A167" s="25">
        <v>45867</v>
      </c>
      <c r="B167" s="13">
        <v>24821.1</v>
      </c>
      <c r="C167" s="13">
        <v>24609.65</v>
      </c>
      <c r="D167" s="13">
        <v>24847.15</v>
      </c>
      <c r="E167" s="13">
        <v>24598.6</v>
      </c>
      <c r="F167" t="s">
        <v>1135</v>
      </c>
      <c r="G167" s="4">
        <v>5.7000000000000002E-3</v>
      </c>
    </row>
    <row r="168" spans="1:7" x14ac:dyDescent="0.3">
      <c r="A168" s="25">
        <v>45866</v>
      </c>
      <c r="B168" s="13">
        <v>24680.9</v>
      </c>
      <c r="C168" s="13">
        <v>24782.45</v>
      </c>
      <c r="D168" s="13">
        <v>24889.200000000001</v>
      </c>
      <c r="E168" s="13">
        <v>24646.6</v>
      </c>
      <c r="F168" t="s">
        <v>1134</v>
      </c>
      <c r="G168" s="4">
        <v>-6.3E-3</v>
      </c>
    </row>
    <row r="169" spans="1:7" x14ac:dyDescent="0.3">
      <c r="A169" s="25">
        <v>45863</v>
      </c>
      <c r="B169" s="13">
        <v>24837</v>
      </c>
      <c r="C169" s="13">
        <v>25010.35</v>
      </c>
      <c r="D169" s="13">
        <v>25010.35</v>
      </c>
      <c r="E169" s="13">
        <v>24806.35</v>
      </c>
      <c r="F169" t="s">
        <v>1133</v>
      </c>
      <c r="G169" s="4">
        <v>-8.9999999999999993E-3</v>
      </c>
    </row>
    <row r="170" spans="1:7" x14ac:dyDescent="0.3">
      <c r="A170" s="25">
        <v>45862</v>
      </c>
      <c r="B170" s="13">
        <v>25062.1</v>
      </c>
      <c r="C170" s="13">
        <v>25243.3</v>
      </c>
      <c r="D170" s="13">
        <v>25246.25</v>
      </c>
      <c r="E170" s="13">
        <v>25018.7</v>
      </c>
      <c r="F170" t="s">
        <v>1132</v>
      </c>
      <c r="G170" s="4">
        <v>-6.3E-3</v>
      </c>
    </row>
    <row r="171" spans="1:7" x14ac:dyDescent="0.3">
      <c r="A171" s="25">
        <v>45861</v>
      </c>
      <c r="B171" s="13">
        <v>25219.9</v>
      </c>
      <c r="C171" s="13">
        <v>25139.35</v>
      </c>
      <c r="D171" s="13">
        <v>25233.5</v>
      </c>
      <c r="E171" s="13">
        <v>25085.5</v>
      </c>
      <c r="F171" t="s">
        <v>1131</v>
      </c>
      <c r="G171" s="4">
        <v>6.3E-3</v>
      </c>
    </row>
    <row r="172" spans="1:7" x14ac:dyDescent="0.3">
      <c r="A172" s="25">
        <v>45860</v>
      </c>
      <c r="B172" s="13">
        <v>25060.9</v>
      </c>
      <c r="C172" s="13">
        <v>25166.65</v>
      </c>
      <c r="D172" s="13">
        <v>25182</v>
      </c>
      <c r="E172" s="13">
        <v>25035.55</v>
      </c>
      <c r="F172" t="s">
        <v>1130</v>
      </c>
      <c r="G172" s="4">
        <v>-1.1999999999999999E-3</v>
      </c>
    </row>
    <row r="173" spans="1:7" x14ac:dyDescent="0.3">
      <c r="A173" s="25">
        <v>45859</v>
      </c>
      <c r="B173" s="13">
        <v>25090.7</v>
      </c>
      <c r="C173" s="13">
        <v>24999</v>
      </c>
      <c r="D173" s="13">
        <v>25111.4</v>
      </c>
      <c r="E173" s="13">
        <v>24882.3</v>
      </c>
      <c r="F173" t="s">
        <v>1129</v>
      </c>
      <c r="G173" s="4">
        <v>4.8999999999999998E-3</v>
      </c>
    </row>
    <row r="174" spans="1:7" x14ac:dyDescent="0.3">
      <c r="A174" s="25">
        <v>45856</v>
      </c>
      <c r="B174" s="13">
        <v>24968.400000000001</v>
      </c>
      <c r="C174" s="13">
        <v>25108.55</v>
      </c>
      <c r="D174" s="13">
        <v>25144.6</v>
      </c>
      <c r="E174" s="13">
        <v>24918.65</v>
      </c>
      <c r="F174" t="s">
        <v>1128</v>
      </c>
      <c r="G174" s="4">
        <v>-5.7000000000000002E-3</v>
      </c>
    </row>
    <row r="175" spans="1:7" x14ac:dyDescent="0.3">
      <c r="A175" s="25">
        <v>45855</v>
      </c>
      <c r="B175" s="13">
        <v>25111.45</v>
      </c>
      <c r="C175" s="13">
        <v>25230.75</v>
      </c>
      <c r="D175" s="13">
        <v>25238.35</v>
      </c>
      <c r="E175" s="13">
        <v>25101</v>
      </c>
      <c r="F175" t="s">
        <v>1127</v>
      </c>
      <c r="G175" s="4">
        <v>-4.0000000000000001E-3</v>
      </c>
    </row>
    <row r="176" spans="1:7" x14ac:dyDescent="0.3">
      <c r="A176" s="25">
        <v>45854</v>
      </c>
      <c r="B176" s="13">
        <v>25212.05</v>
      </c>
      <c r="C176" s="13">
        <v>25196.6</v>
      </c>
      <c r="D176" s="13">
        <v>25255.3</v>
      </c>
      <c r="E176" s="13">
        <v>25121.05</v>
      </c>
      <c r="F176" t="s">
        <v>1126</v>
      </c>
      <c r="G176" s="4">
        <v>5.9999999999999995E-4</v>
      </c>
    </row>
    <row r="177" spans="1:7" x14ac:dyDescent="0.3">
      <c r="A177" s="25">
        <v>45853</v>
      </c>
      <c r="B177" s="13">
        <v>25195.8</v>
      </c>
      <c r="C177" s="13">
        <v>25089.5</v>
      </c>
      <c r="D177" s="13">
        <v>25245.200000000001</v>
      </c>
      <c r="E177" s="13">
        <v>25088.45</v>
      </c>
      <c r="F177" t="s">
        <v>1125</v>
      </c>
      <c r="G177" s="4">
        <v>4.4999999999999997E-3</v>
      </c>
    </row>
    <row r="178" spans="1:7" x14ac:dyDescent="0.3">
      <c r="A178" s="25">
        <v>45852</v>
      </c>
      <c r="B178" s="13">
        <v>25082.3</v>
      </c>
      <c r="C178" s="13">
        <v>25149.5</v>
      </c>
      <c r="D178" s="13">
        <v>25151.1</v>
      </c>
      <c r="E178" s="13">
        <v>25001.95</v>
      </c>
      <c r="F178" t="s">
        <v>1124</v>
      </c>
      <c r="G178" s="4">
        <v>-2.7000000000000001E-3</v>
      </c>
    </row>
    <row r="179" spans="1:7" x14ac:dyDescent="0.3">
      <c r="A179" s="25">
        <v>45849</v>
      </c>
      <c r="B179" s="13">
        <v>25149.85</v>
      </c>
      <c r="C179" s="13">
        <v>25255.5</v>
      </c>
      <c r="D179" s="13">
        <v>25322.45</v>
      </c>
      <c r="E179" s="13">
        <v>25129</v>
      </c>
      <c r="F179" t="s">
        <v>1123</v>
      </c>
      <c r="G179" s="4">
        <v>-8.0999999999999996E-3</v>
      </c>
    </row>
    <row r="180" spans="1:7" x14ac:dyDescent="0.3">
      <c r="A180" s="25">
        <v>45848</v>
      </c>
      <c r="B180" s="13">
        <v>25355.25</v>
      </c>
      <c r="C180" s="13">
        <v>25511.65</v>
      </c>
      <c r="D180" s="13">
        <v>25524.05</v>
      </c>
      <c r="E180" s="13">
        <v>25340.45</v>
      </c>
      <c r="F180" t="s">
        <v>1122</v>
      </c>
      <c r="G180" s="4">
        <v>-4.7000000000000002E-3</v>
      </c>
    </row>
    <row r="181" spans="1:7" x14ac:dyDescent="0.3">
      <c r="A181" s="25">
        <v>45847</v>
      </c>
      <c r="B181" s="13">
        <v>25476.1</v>
      </c>
      <c r="C181" s="13">
        <v>25514.6</v>
      </c>
      <c r="D181" s="13">
        <v>25548.7</v>
      </c>
      <c r="E181" s="13">
        <v>25424.35</v>
      </c>
      <c r="F181" t="s">
        <v>1121</v>
      </c>
      <c r="G181" s="4">
        <v>-1.8E-3</v>
      </c>
    </row>
    <row r="182" spans="1:7" x14ac:dyDescent="0.3">
      <c r="A182" s="25">
        <v>45846</v>
      </c>
      <c r="B182" s="13">
        <v>25522.5</v>
      </c>
      <c r="C182" s="13">
        <v>25427.85</v>
      </c>
      <c r="D182" s="13">
        <v>25548.05</v>
      </c>
      <c r="E182" s="13">
        <v>25424.15</v>
      </c>
      <c r="F182" t="s">
        <v>1120</v>
      </c>
      <c r="G182" s="4">
        <v>2.3999999999999998E-3</v>
      </c>
    </row>
    <row r="183" spans="1:7" x14ac:dyDescent="0.3">
      <c r="A183" s="25">
        <v>45845</v>
      </c>
      <c r="B183" s="13">
        <v>25461.3</v>
      </c>
      <c r="C183" s="13">
        <v>25450.45</v>
      </c>
      <c r="D183" s="13">
        <v>25489.8</v>
      </c>
      <c r="E183" s="13">
        <v>25407.25</v>
      </c>
      <c r="F183" t="s">
        <v>1119</v>
      </c>
      <c r="G183" s="4">
        <v>0</v>
      </c>
    </row>
    <row r="184" spans="1:7" x14ac:dyDescent="0.3">
      <c r="A184" s="25">
        <v>45842</v>
      </c>
      <c r="B184" s="13">
        <v>25461</v>
      </c>
      <c r="C184" s="13">
        <v>25428.85</v>
      </c>
      <c r="D184" s="13">
        <v>25470.25</v>
      </c>
      <c r="E184" s="13">
        <v>25331.65</v>
      </c>
      <c r="F184" t="s">
        <v>1118</v>
      </c>
      <c r="G184" s="4">
        <v>2.2000000000000001E-3</v>
      </c>
    </row>
    <row r="185" spans="1:7" x14ac:dyDescent="0.3">
      <c r="A185" s="25">
        <v>45841</v>
      </c>
      <c r="B185" s="13">
        <v>25405.3</v>
      </c>
      <c r="C185" s="13">
        <v>25505.1</v>
      </c>
      <c r="D185" s="13">
        <v>25587.5</v>
      </c>
      <c r="E185" s="13">
        <v>25384.35</v>
      </c>
      <c r="F185" t="s">
        <v>1117</v>
      </c>
      <c r="G185" s="4">
        <v>-1.9E-3</v>
      </c>
    </row>
    <row r="186" spans="1:7" x14ac:dyDescent="0.3">
      <c r="A186" s="25">
        <v>45840</v>
      </c>
      <c r="B186" s="13">
        <v>25453.4</v>
      </c>
      <c r="C186" s="13">
        <v>25588.3</v>
      </c>
      <c r="D186" s="13">
        <v>25608.1</v>
      </c>
      <c r="E186" s="13">
        <v>25378.75</v>
      </c>
      <c r="F186" t="s">
        <v>1116</v>
      </c>
      <c r="G186" s="4">
        <v>-3.5000000000000001E-3</v>
      </c>
    </row>
    <row r="187" spans="1:7" x14ac:dyDescent="0.3">
      <c r="A187" s="25">
        <v>45839</v>
      </c>
      <c r="B187" s="13">
        <v>25541.8</v>
      </c>
      <c r="C187" s="13">
        <v>25551.35</v>
      </c>
      <c r="D187" s="13">
        <v>25593.4</v>
      </c>
      <c r="E187" s="13">
        <v>25501.8</v>
      </c>
      <c r="F187" t="s">
        <v>1115</v>
      </c>
      <c r="G187" s="4">
        <v>1E-3</v>
      </c>
    </row>
    <row r="188" spans="1:7" x14ac:dyDescent="0.3">
      <c r="A188" s="25">
        <v>45838</v>
      </c>
      <c r="B188" s="13">
        <v>25517.05</v>
      </c>
      <c r="C188" s="13">
        <v>25661.65</v>
      </c>
      <c r="D188" s="13">
        <v>25669.35</v>
      </c>
      <c r="E188" s="13">
        <v>25473.3</v>
      </c>
      <c r="F188" t="s">
        <v>1114</v>
      </c>
      <c r="G188" s="4">
        <v>-4.7000000000000002E-3</v>
      </c>
    </row>
    <row r="189" spans="1:7" x14ac:dyDescent="0.3">
      <c r="A189" s="25">
        <v>45835</v>
      </c>
      <c r="B189" s="13">
        <v>25637.8</v>
      </c>
      <c r="C189" s="13">
        <v>25576.65</v>
      </c>
      <c r="D189" s="13">
        <v>25654.2</v>
      </c>
      <c r="E189" s="13">
        <v>25523.55</v>
      </c>
      <c r="F189" t="s">
        <v>1113</v>
      </c>
      <c r="G189" s="4">
        <v>3.5000000000000001E-3</v>
      </c>
    </row>
    <row r="190" spans="1:7" x14ac:dyDescent="0.3">
      <c r="A190" s="25">
        <v>45834</v>
      </c>
      <c r="B190" s="13">
        <v>25549</v>
      </c>
      <c r="C190" s="13">
        <v>25268.95</v>
      </c>
      <c r="D190" s="13">
        <v>25565.3</v>
      </c>
      <c r="E190" s="13">
        <v>25259.9</v>
      </c>
      <c r="F190" t="s">
        <v>1112</v>
      </c>
      <c r="G190" s="4">
        <v>1.21E-2</v>
      </c>
    </row>
    <row r="191" spans="1:7" x14ac:dyDescent="0.3">
      <c r="A191" s="25">
        <v>45833</v>
      </c>
      <c r="B191" s="13">
        <v>25244.75</v>
      </c>
      <c r="C191" s="13">
        <v>25150.35</v>
      </c>
      <c r="D191" s="13">
        <v>25266.799999999999</v>
      </c>
      <c r="E191" s="13">
        <v>25125.05</v>
      </c>
      <c r="F191" t="s">
        <v>1111</v>
      </c>
      <c r="G191" s="4">
        <v>8.0000000000000002E-3</v>
      </c>
    </row>
    <row r="192" spans="1:7" x14ac:dyDescent="0.3">
      <c r="A192" s="25">
        <v>45832</v>
      </c>
      <c r="B192" s="13">
        <v>25044.35</v>
      </c>
      <c r="C192" s="13">
        <v>25179.9</v>
      </c>
      <c r="D192" s="13">
        <v>25317.7</v>
      </c>
      <c r="E192" s="13">
        <v>24999.7</v>
      </c>
      <c r="F192" t="s">
        <v>1110</v>
      </c>
      <c r="G192" s="4">
        <v>2.8999999999999998E-3</v>
      </c>
    </row>
    <row r="193" spans="1:7" x14ac:dyDescent="0.3">
      <c r="A193" s="25">
        <v>45831</v>
      </c>
      <c r="B193" s="13">
        <v>24971.9</v>
      </c>
      <c r="C193" s="13">
        <v>24939.75</v>
      </c>
      <c r="D193" s="13">
        <v>25057</v>
      </c>
      <c r="E193" s="13">
        <v>24824.85</v>
      </c>
      <c r="F193" t="s">
        <v>1109</v>
      </c>
      <c r="G193" s="4">
        <v>-5.5999999999999999E-3</v>
      </c>
    </row>
    <row r="194" spans="1:7" x14ac:dyDescent="0.3">
      <c r="A194" s="25">
        <v>45828</v>
      </c>
      <c r="B194" s="13">
        <v>25112.400000000001</v>
      </c>
      <c r="C194" s="13">
        <v>24787.65</v>
      </c>
      <c r="D194" s="13">
        <v>25136.2</v>
      </c>
      <c r="E194" s="13">
        <v>24783.65</v>
      </c>
      <c r="F194" t="s">
        <v>1108</v>
      </c>
      <c r="G194" s="4">
        <v>1.29E-2</v>
      </c>
    </row>
    <row r="195" spans="1:7" x14ac:dyDescent="0.3">
      <c r="A195" s="25">
        <v>45827</v>
      </c>
      <c r="B195" s="13">
        <v>24793.25</v>
      </c>
      <c r="C195" s="13">
        <v>24803.25</v>
      </c>
      <c r="D195" s="13">
        <v>24863.1</v>
      </c>
      <c r="E195" s="13">
        <v>24733.4</v>
      </c>
      <c r="F195" t="s">
        <v>1107</v>
      </c>
      <c r="G195" s="4">
        <v>-8.0000000000000004E-4</v>
      </c>
    </row>
    <row r="196" spans="1:7" x14ac:dyDescent="0.3">
      <c r="A196" s="25">
        <v>45826</v>
      </c>
      <c r="B196" s="13">
        <v>24812.05</v>
      </c>
      <c r="C196" s="13">
        <v>24788.35</v>
      </c>
      <c r="D196" s="13">
        <v>24947.55</v>
      </c>
      <c r="E196" s="13">
        <v>24750.45</v>
      </c>
      <c r="F196" t="s">
        <v>1106</v>
      </c>
      <c r="G196" s="4">
        <v>-1.6999999999999999E-3</v>
      </c>
    </row>
    <row r="197" spans="1:7" x14ac:dyDescent="0.3">
      <c r="A197" s="25">
        <v>45825</v>
      </c>
      <c r="B197" s="13">
        <v>24853.4</v>
      </c>
      <c r="C197" s="13">
        <v>24977.85</v>
      </c>
      <c r="D197" s="13">
        <v>24982.05</v>
      </c>
      <c r="E197" s="13">
        <v>24813.7</v>
      </c>
      <c r="F197" t="s">
        <v>1105</v>
      </c>
      <c r="G197" s="4">
        <v>-3.7000000000000002E-3</v>
      </c>
    </row>
    <row r="198" spans="1:7" x14ac:dyDescent="0.3">
      <c r="A198" s="25">
        <v>45824</v>
      </c>
      <c r="B198" s="13">
        <v>24946.5</v>
      </c>
      <c r="C198" s="13">
        <v>24732.35</v>
      </c>
      <c r="D198" s="13">
        <v>24967.1</v>
      </c>
      <c r="E198" s="13">
        <v>24703.599999999999</v>
      </c>
      <c r="F198" t="s">
        <v>1104</v>
      </c>
      <c r="G198" s="4">
        <v>9.1999999999999998E-3</v>
      </c>
    </row>
    <row r="199" spans="1:7" x14ac:dyDescent="0.3">
      <c r="A199" s="25">
        <v>45821</v>
      </c>
      <c r="B199" s="13">
        <v>24718.6</v>
      </c>
      <c r="C199" s="13">
        <v>24473</v>
      </c>
      <c r="D199" s="13">
        <v>24754.35</v>
      </c>
      <c r="E199" s="13">
        <v>24473</v>
      </c>
      <c r="F199" t="s">
        <v>1103</v>
      </c>
      <c r="G199" s="4">
        <v>-6.7999999999999996E-3</v>
      </c>
    </row>
    <row r="200" spans="1:7" x14ac:dyDescent="0.3">
      <c r="A200" s="25">
        <v>45820</v>
      </c>
      <c r="B200" s="13">
        <v>24888.2</v>
      </c>
      <c r="C200" s="13">
        <v>25164.45</v>
      </c>
      <c r="D200" s="13">
        <v>25196.2</v>
      </c>
      <c r="E200" s="13">
        <v>24825.9</v>
      </c>
      <c r="F200" t="s">
        <v>1102</v>
      </c>
      <c r="G200" s="4">
        <v>-1.01E-2</v>
      </c>
    </row>
    <row r="201" spans="1:7" x14ac:dyDescent="0.3">
      <c r="A201" s="25">
        <v>45819</v>
      </c>
      <c r="B201" s="13">
        <v>25141.4</v>
      </c>
      <c r="C201" s="13">
        <v>25134.15</v>
      </c>
      <c r="D201" s="13">
        <v>25222.400000000001</v>
      </c>
      <c r="E201" s="13">
        <v>25081.3</v>
      </c>
      <c r="F201" t="s">
        <v>1101</v>
      </c>
      <c r="G201" s="4">
        <v>1.5E-3</v>
      </c>
    </row>
    <row r="202" spans="1:7" x14ac:dyDescent="0.3">
      <c r="A202" s="25">
        <v>45818</v>
      </c>
      <c r="B202" s="13">
        <v>25104.25</v>
      </c>
      <c r="C202" s="13">
        <v>25196.05</v>
      </c>
      <c r="D202" s="13">
        <v>25199.3</v>
      </c>
      <c r="E202" s="13">
        <v>25055.45</v>
      </c>
      <c r="F202" t="s">
        <v>1100</v>
      </c>
      <c r="G202" s="4">
        <v>0</v>
      </c>
    </row>
    <row r="203" spans="1:7" x14ac:dyDescent="0.3">
      <c r="A203" s="25">
        <v>45817</v>
      </c>
      <c r="B203" s="13">
        <v>25103.200000000001</v>
      </c>
      <c r="C203" s="13">
        <v>25160.1</v>
      </c>
      <c r="D203" s="13">
        <v>25160.1</v>
      </c>
      <c r="E203" s="13">
        <v>25077.15</v>
      </c>
      <c r="F203" t="s">
        <v>1099</v>
      </c>
      <c r="G203" s="4">
        <v>4.0000000000000001E-3</v>
      </c>
    </row>
    <row r="204" spans="1:7" x14ac:dyDescent="0.3">
      <c r="A204" s="25">
        <v>45814</v>
      </c>
      <c r="B204" s="13">
        <v>25003.05</v>
      </c>
      <c r="C204" s="13">
        <v>24748.7</v>
      </c>
      <c r="D204" s="13">
        <v>25029.5</v>
      </c>
      <c r="E204" s="13">
        <v>24671.45</v>
      </c>
      <c r="F204" t="s">
        <v>1098</v>
      </c>
      <c r="G204" s="4">
        <v>1.0200000000000001E-2</v>
      </c>
    </row>
    <row r="205" spans="1:7" x14ac:dyDescent="0.3">
      <c r="A205" s="25">
        <v>45813</v>
      </c>
      <c r="B205" s="13">
        <v>24750.9</v>
      </c>
      <c r="C205" s="13">
        <v>24691.200000000001</v>
      </c>
      <c r="D205" s="13">
        <v>24899.85</v>
      </c>
      <c r="E205" s="13">
        <v>24613.1</v>
      </c>
      <c r="F205" t="s">
        <v>1097</v>
      </c>
      <c r="G205" s="4">
        <v>5.3E-3</v>
      </c>
    </row>
    <row r="206" spans="1:7" x14ac:dyDescent="0.3">
      <c r="A206" s="25">
        <v>45812</v>
      </c>
      <c r="B206" s="13">
        <v>24620.2</v>
      </c>
      <c r="C206" s="13">
        <v>24560.45</v>
      </c>
      <c r="D206" s="13">
        <v>24644.25</v>
      </c>
      <c r="E206" s="13">
        <v>24530.45</v>
      </c>
      <c r="F206" t="s">
        <v>1096</v>
      </c>
      <c r="G206" s="4">
        <v>3.2000000000000002E-3</v>
      </c>
    </row>
    <row r="207" spans="1:7" x14ac:dyDescent="0.3">
      <c r="A207" s="25">
        <v>45811</v>
      </c>
      <c r="B207" s="13">
        <v>24542.5</v>
      </c>
      <c r="C207" s="13">
        <v>24786.3</v>
      </c>
      <c r="D207" s="13">
        <v>24845.1</v>
      </c>
      <c r="E207" s="13">
        <v>24502.15</v>
      </c>
      <c r="F207" t="s">
        <v>1095</v>
      </c>
      <c r="G207" s="4">
        <v>-7.0000000000000001E-3</v>
      </c>
    </row>
    <row r="208" spans="1:7" x14ac:dyDescent="0.3">
      <c r="A208" s="25">
        <v>45810</v>
      </c>
      <c r="B208" s="13">
        <v>24716.6</v>
      </c>
      <c r="C208" s="13">
        <v>24669.7</v>
      </c>
      <c r="D208" s="13">
        <v>24754.400000000001</v>
      </c>
      <c r="E208" s="13">
        <v>24526.15</v>
      </c>
      <c r="F208" t="s">
        <v>1094</v>
      </c>
      <c r="G208" s="4">
        <v>-1.4E-3</v>
      </c>
    </row>
    <row r="209" spans="1:7" x14ac:dyDescent="0.3">
      <c r="A209" s="25">
        <v>45807</v>
      </c>
      <c r="B209" s="13">
        <v>24750.7</v>
      </c>
      <c r="C209" s="13">
        <v>24812.6</v>
      </c>
      <c r="D209" s="13">
        <v>24863.95</v>
      </c>
      <c r="E209" s="13">
        <v>24717.4</v>
      </c>
      <c r="F209" t="s">
        <v>1093</v>
      </c>
      <c r="G209" s="4">
        <v>-3.3E-3</v>
      </c>
    </row>
    <row r="210" spans="1:7" x14ac:dyDescent="0.3">
      <c r="A210" s="25">
        <v>45806</v>
      </c>
      <c r="B210" s="13">
        <v>24833.599999999999</v>
      </c>
      <c r="C210" s="13">
        <v>24825.1</v>
      </c>
      <c r="D210" s="13">
        <v>24892.6</v>
      </c>
      <c r="E210" s="13">
        <v>24677.3</v>
      </c>
      <c r="F210" t="s">
        <v>1092</v>
      </c>
      <c r="G210" s="4">
        <v>3.3E-3</v>
      </c>
    </row>
    <row r="211" spans="1:7" x14ac:dyDescent="0.3">
      <c r="A211" s="25">
        <v>45805</v>
      </c>
      <c r="B211" s="13">
        <v>24752.45</v>
      </c>
      <c r="C211" s="13">
        <v>24832.5</v>
      </c>
      <c r="D211" s="13">
        <v>24864.25</v>
      </c>
      <c r="E211" s="13">
        <v>24737.05</v>
      </c>
      <c r="F211" t="s">
        <v>1091</v>
      </c>
      <c r="G211" s="4">
        <v>-3.0000000000000001E-3</v>
      </c>
    </row>
    <row r="212" spans="1:7" x14ac:dyDescent="0.3">
      <c r="A212" s="25">
        <v>45804</v>
      </c>
      <c r="B212" s="13">
        <v>24826.2</v>
      </c>
      <c r="C212" s="13">
        <v>24956.65</v>
      </c>
      <c r="D212" s="13">
        <v>25062.9</v>
      </c>
      <c r="E212" s="13">
        <v>24704.1</v>
      </c>
      <c r="F212" t="s">
        <v>1090</v>
      </c>
      <c r="G212" s="4">
        <v>-7.0000000000000001E-3</v>
      </c>
    </row>
    <row r="213" spans="1:7" x14ac:dyDescent="0.3">
      <c r="A213" s="25">
        <v>45803</v>
      </c>
      <c r="B213" s="13">
        <v>25001.15</v>
      </c>
      <c r="C213" s="13">
        <v>24919.35</v>
      </c>
      <c r="D213" s="13">
        <v>25079.200000000001</v>
      </c>
      <c r="E213" s="13">
        <v>24900.5</v>
      </c>
      <c r="F213" t="s">
        <v>1089</v>
      </c>
      <c r="G213" s="4">
        <v>6.0000000000000001E-3</v>
      </c>
    </row>
    <row r="214" spans="1:7" x14ac:dyDescent="0.3">
      <c r="A214" s="25">
        <v>45800</v>
      </c>
      <c r="B214" s="13">
        <v>24853.15</v>
      </c>
      <c r="C214" s="13">
        <v>24639.5</v>
      </c>
      <c r="D214" s="13">
        <v>24909.05</v>
      </c>
      <c r="E214" s="13">
        <v>24614.05</v>
      </c>
      <c r="F214" t="s">
        <v>1088</v>
      </c>
      <c r="G214" s="4">
        <v>9.9000000000000008E-3</v>
      </c>
    </row>
    <row r="215" spans="1:7" x14ac:dyDescent="0.3">
      <c r="A215" s="25">
        <v>45799</v>
      </c>
      <c r="B215" s="13">
        <v>24609.7</v>
      </c>
      <c r="C215" s="13">
        <v>24733.95</v>
      </c>
      <c r="D215" s="13">
        <v>24737.5</v>
      </c>
      <c r="E215" s="13">
        <v>24462.400000000001</v>
      </c>
      <c r="F215" t="s">
        <v>1087</v>
      </c>
      <c r="G215" s="4">
        <v>-8.2000000000000007E-3</v>
      </c>
    </row>
    <row r="216" spans="1:7" x14ac:dyDescent="0.3">
      <c r="A216" s="25">
        <v>45798</v>
      </c>
      <c r="B216" s="13">
        <v>24813.45</v>
      </c>
      <c r="C216" s="13">
        <v>24744.25</v>
      </c>
      <c r="D216" s="13">
        <v>24946.2</v>
      </c>
      <c r="E216" s="13">
        <v>24685.35</v>
      </c>
      <c r="F216" t="s">
        <v>1086</v>
      </c>
      <c r="G216" s="4">
        <v>5.1999999999999998E-3</v>
      </c>
    </row>
    <row r="217" spans="1:7" x14ac:dyDescent="0.3">
      <c r="A217" s="25">
        <v>45797</v>
      </c>
      <c r="B217" s="13">
        <v>24683.9</v>
      </c>
      <c r="C217" s="13">
        <v>24996.2</v>
      </c>
      <c r="D217" s="13">
        <v>25010.35</v>
      </c>
      <c r="E217" s="13">
        <v>24669.7</v>
      </c>
      <c r="F217" t="s">
        <v>1085</v>
      </c>
      <c r="G217" s="4">
        <v>-1.0500000000000001E-2</v>
      </c>
    </row>
    <row r="218" spans="1:7" x14ac:dyDescent="0.3">
      <c r="A218" s="25">
        <v>45796</v>
      </c>
      <c r="B218" s="13">
        <v>24945.45</v>
      </c>
      <c r="C218" s="13">
        <v>25005.35</v>
      </c>
      <c r="D218" s="13">
        <v>25062.95</v>
      </c>
      <c r="E218" s="13">
        <v>24916.65</v>
      </c>
      <c r="F218" t="s">
        <v>1084</v>
      </c>
      <c r="G218" s="4">
        <v>-3.0000000000000001E-3</v>
      </c>
    </row>
    <row r="219" spans="1:7" x14ac:dyDescent="0.3">
      <c r="A219" s="25">
        <v>45793</v>
      </c>
      <c r="B219" s="13">
        <v>25019.8</v>
      </c>
      <c r="C219" s="13">
        <v>25064.65</v>
      </c>
      <c r="D219" s="13">
        <v>25070</v>
      </c>
      <c r="E219" s="13">
        <v>24953.05</v>
      </c>
      <c r="F219" t="s">
        <v>1083</v>
      </c>
      <c r="G219" s="4">
        <v>-1.6999999999999999E-3</v>
      </c>
    </row>
    <row r="220" spans="1:7" x14ac:dyDescent="0.3">
      <c r="A220" s="25">
        <v>45792</v>
      </c>
      <c r="B220" s="13">
        <v>25062.1</v>
      </c>
      <c r="C220" s="13">
        <v>24694.45</v>
      </c>
      <c r="D220" s="13">
        <v>25116.25</v>
      </c>
      <c r="E220" s="13">
        <v>24494.45</v>
      </c>
      <c r="F220" t="s">
        <v>1082</v>
      </c>
      <c r="G220" s="4">
        <v>1.6E-2</v>
      </c>
    </row>
    <row r="221" spans="1:7" x14ac:dyDescent="0.3">
      <c r="A221" s="25">
        <v>45791</v>
      </c>
      <c r="B221" s="13">
        <v>24666.9</v>
      </c>
      <c r="C221" s="13">
        <v>24613.8</v>
      </c>
      <c r="D221" s="13">
        <v>24767.55</v>
      </c>
      <c r="E221" s="13">
        <v>24535.55</v>
      </c>
      <c r="F221" t="s">
        <v>1081</v>
      </c>
      <c r="G221" s="4">
        <v>3.5999999999999999E-3</v>
      </c>
    </row>
    <row r="222" spans="1:7" x14ac:dyDescent="0.3">
      <c r="A222" s="25">
        <v>45790</v>
      </c>
      <c r="B222" s="13">
        <v>24578.35</v>
      </c>
      <c r="C222" s="13">
        <v>24864.05</v>
      </c>
      <c r="D222" s="13">
        <v>24973.8</v>
      </c>
      <c r="E222" s="13">
        <v>24547.5</v>
      </c>
      <c r="F222" t="s">
        <v>1080</v>
      </c>
      <c r="G222" s="4">
        <v>-1.3899999999999999E-2</v>
      </c>
    </row>
    <row r="223" spans="1:7" x14ac:dyDescent="0.3">
      <c r="A223" s="25">
        <v>45789</v>
      </c>
      <c r="B223" s="13">
        <v>24924.7</v>
      </c>
      <c r="C223" s="13">
        <v>24420.1</v>
      </c>
      <c r="D223" s="13">
        <v>24944.799999999999</v>
      </c>
      <c r="E223" s="13">
        <v>24378.85</v>
      </c>
      <c r="F223" t="s">
        <v>1079</v>
      </c>
      <c r="G223" s="4">
        <v>3.8199999999999998E-2</v>
      </c>
    </row>
    <row r="224" spans="1:7" x14ac:dyDescent="0.3">
      <c r="A224" s="25">
        <v>45786</v>
      </c>
      <c r="B224" s="13">
        <v>24008</v>
      </c>
      <c r="C224" s="13">
        <v>23935.75</v>
      </c>
      <c r="D224" s="13">
        <v>24164.25</v>
      </c>
      <c r="E224" s="13">
        <v>23935.75</v>
      </c>
      <c r="F224" t="s">
        <v>1078</v>
      </c>
      <c r="G224" s="4">
        <v>-1.0999999999999999E-2</v>
      </c>
    </row>
    <row r="225" spans="1:7" x14ac:dyDescent="0.3">
      <c r="A225" s="25">
        <v>45785</v>
      </c>
      <c r="B225" s="13">
        <v>24273.8</v>
      </c>
      <c r="C225" s="13">
        <v>24431.5</v>
      </c>
      <c r="D225" s="13">
        <v>24447.25</v>
      </c>
      <c r="E225" s="13">
        <v>24150.2</v>
      </c>
      <c r="F225" t="s">
        <v>1077</v>
      </c>
      <c r="G225" s="4">
        <v>-5.7999999999999996E-3</v>
      </c>
    </row>
    <row r="226" spans="1:7" x14ac:dyDescent="0.3">
      <c r="A226" s="25">
        <v>45784</v>
      </c>
      <c r="B226" s="13">
        <v>24414.400000000001</v>
      </c>
      <c r="C226" s="13">
        <v>24233.3</v>
      </c>
      <c r="D226" s="13">
        <v>24449.599999999999</v>
      </c>
      <c r="E226" s="13">
        <v>24220</v>
      </c>
      <c r="F226" t="s">
        <v>1076</v>
      </c>
      <c r="G226" s="4">
        <v>1.4E-3</v>
      </c>
    </row>
    <row r="227" spans="1:7" x14ac:dyDescent="0.3">
      <c r="A227" s="25">
        <v>45783</v>
      </c>
      <c r="B227" s="13">
        <v>24379.599999999999</v>
      </c>
      <c r="C227" s="13">
        <v>24500.75</v>
      </c>
      <c r="D227" s="13">
        <v>24509.65</v>
      </c>
      <c r="E227" s="13">
        <v>24331.8</v>
      </c>
      <c r="F227" t="s">
        <v>1075</v>
      </c>
      <c r="G227" s="4">
        <v>-3.3E-3</v>
      </c>
    </row>
    <row r="228" spans="1:7" x14ac:dyDescent="0.3">
      <c r="A228" s="25">
        <v>45782</v>
      </c>
      <c r="B228" s="13">
        <v>24461.15</v>
      </c>
      <c r="C228" s="13">
        <v>24419.5</v>
      </c>
      <c r="D228" s="13">
        <v>24526.400000000001</v>
      </c>
      <c r="E228" s="13">
        <v>24400.65</v>
      </c>
      <c r="F228" t="s">
        <v>1074</v>
      </c>
      <c r="G228" s="4">
        <v>4.7000000000000002E-3</v>
      </c>
    </row>
    <row r="229" spans="1:7" x14ac:dyDescent="0.3">
      <c r="A229" s="25">
        <v>45779</v>
      </c>
      <c r="B229" s="13">
        <v>24346.7</v>
      </c>
      <c r="C229" s="13">
        <v>24311.9</v>
      </c>
      <c r="D229" s="13">
        <v>24589.15</v>
      </c>
      <c r="E229" s="13">
        <v>24238.5</v>
      </c>
      <c r="F229" t="s">
        <v>1073</v>
      </c>
      <c r="G229" s="4">
        <v>5.0000000000000001E-4</v>
      </c>
    </row>
    <row r="230" spans="1:7" x14ac:dyDescent="0.3">
      <c r="A230" s="25">
        <v>45777</v>
      </c>
      <c r="B230" s="13">
        <v>24334.2</v>
      </c>
      <c r="C230" s="13">
        <v>24342.05</v>
      </c>
      <c r="D230" s="13">
        <v>24396.15</v>
      </c>
      <c r="E230" s="13">
        <v>24198.75</v>
      </c>
      <c r="F230" t="s">
        <v>1072</v>
      </c>
      <c r="G230" s="4">
        <v>-1E-4</v>
      </c>
    </row>
    <row r="231" spans="1:7" x14ac:dyDescent="0.3">
      <c r="A231" s="25">
        <v>45776</v>
      </c>
      <c r="B231" s="13">
        <v>24335.95</v>
      </c>
      <c r="C231" s="13">
        <v>24370.7</v>
      </c>
      <c r="D231" s="13">
        <v>24457.65</v>
      </c>
      <c r="E231" s="13">
        <v>24290.75</v>
      </c>
      <c r="F231" t="s">
        <v>1071</v>
      </c>
      <c r="G231" s="4">
        <v>2.9999999999999997E-4</v>
      </c>
    </row>
    <row r="232" spans="1:7" x14ac:dyDescent="0.3">
      <c r="A232" s="25">
        <v>45775</v>
      </c>
      <c r="B232" s="13">
        <v>24328.5</v>
      </c>
      <c r="C232" s="13">
        <v>24070.25</v>
      </c>
      <c r="D232" s="13">
        <v>24355.1</v>
      </c>
      <c r="E232" s="13">
        <v>24054.05</v>
      </c>
      <c r="F232" t="s">
        <v>1070</v>
      </c>
      <c r="G232" s="4">
        <v>1.2E-2</v>
      </c>
    </row>
    <row r="233" spans="1:7" x14ac:dyDescent="0.3">
      <c r="A233" s="25">
        <v>45772</v>
      </c>
      <c r="B233" s="13">
        <v>24039.35</v>
      </c>
      <c r="C233" s="13">
        <v>24289</v>
      </c>
      <c r="D233" s="13">
        <v>24365.45</v>
      </c>
      <c r="E233" s="13">
        <v>23847.85</v>
      </c>
      <c r="F233" t="s">
        <v>1069</v>
      </c>
      <c r="G233" s="4">
        <v>-8.6E-3</v>
      </c>
    </row>
    <row r="234" spans="1:7" x14ac:dyDescent="0.3">
      <c r="A234" s="25">
        <v>45771</v>
      </c>
      <c r="B234" s="13">
        <v>24246.7</v>
      </c>
      <c r="C234" s="13">
        <v>24277.9</v>
      </c>
      <c r="D234" s="13">
        <v>24347.85</v>
      </c>
      <c r="E234" s="13">
        <v>24216.15</v>
      </c>
      <c r="F234" t="s">
        <v>1068</v>
      </c>
      <c r="G234" s="4">
        <v>-3.3999999999999998E-3</v>
      </c>
    </row>
    <row r="235" spans="1:7" x14ac:dyDescent="0.3">
      <c r="A235" s="25">
        <v>45770</v>
      </c>
      <c r="B235" s="13">
        <v>24328.95</v>
      </c>
      <c r="C235" s="13">
        <v>24357.599999999999</v>
      </c>
      <c r="D235" s="13">
        <v>24359.3</v>
      </c>
      <c r="E235" s="13">
        <v>24119.95</v>
      </c>
      <c r="F235" t="s">
        <v>1067</v>
      </c>
      <c r="G235" s="4">
        <v>6.7000000000000002E-3</v>
      </c>
    </row>
    <row r="236" spans="1:7" x14ac:dyDescent="0.3">
      <c r="A236" s="25">
        <v>45769</v>
      </c>
      <c r="B236" s="13">
        <v>24167.25</v>
      </c>
      <c r="C236" s="13">
        <v>24185.4</v>
      </c>
      <c r="D236" s="13">
        <v>24242.6</v>
      </c>
      <c r="E236" s="13">
        <v>24072</v>
      </c>
      <c r="F236" t="s">
        <v>1066</v>
      </c>
      <c r="G236" s="4">
        <v>1.6999999999999999E-3</v>
      </c>
    </row>
    <row r="237" spans="1:7" x14ac:dyDescent="0.3">
      <c r="A237" s="25">
        <v>45768</v>
      </c>
      <c r="B237" s="13">
        <v>24125.55</v>
      </c>
      <c r="C237" s="13">
        <v>23949.15</v>
      </c>
      <c r="D237" s="13">
        <v>24189.55</v>
      </c>
      <c r="E237" s="13">
        <v>23903.65</v>
      </c>
      <c r="F237" t="s">
        <v>1065</v>
      </c>
      <c r="G237" s="4">
        <v>1.15E-2</v>
      </c>
    </row>
    <row r="238" spans="1:7" x14ac:dyDescent="0.3">
      <c r="A238" s="25">
        <v>45764</v>
      </c>
      <c r="B238" s="13">
        <v>23851.65</v>
      </c>
      <c r="C238" s="13">
        <v>23401.85</v>
      </c>
      <c r="D238" s="13">
        <v>23872.35</v>
      </c>
      <c r="E238" s="13">
        <v>23298.55</v>
      </c>
      <c r="F238" t="s">
        <v>1064</v>
      </c>
      <c r="G238" s="4">
        <v>1.77E-2</v>
      </c>
    </row>
    <row r="239" spans="1:7" x14ac:dyDescent="0.3">
      <c r="A239" s="25">
        <v>45763</v>
      </c>
      <c r="B239" s="13">
        <v>23437.200000000001</v>
      </c>
      <c r="C239" s="13">
        <v>23344.1</v>
      </c>
      <c r="D239" s="13">
        <v>23452.2</v>
      </c>
      <c r="E239" s="13">
        <v>23273.05</v>
      </c>
      <c r="F239" t="s">
        <v>1063</v>
      </c>
      <c r="G239" s="4">
        <v>4.7000000000000002E-3</v>
      </c>
    </row>
    <row r="240" spans="1:7" x14ac:dyDescent="0.3">
      <c r="A240" s="25">
        <v>45762</v>
      </c>
      <c r="B240" s="13">
        <v>23328.55</v>
      </c>
      <c r="C240" s="13">
        <v>23368.35</v>
      </c>
      <c r="D240" s="13">
        <v>23368.35</v>
      </c>
      <c r="E240" s="13">
        <v>23207</v>
      </c>
      <c r="F240" t="s">
        <v>1062</v>
      </c>
      <c r="G240" s="4">
        <v>2.1899999999999999E-2</v>
      </c>
    </row>
    <row r="241" spans="1:7" x14ac:dyDescent="0.3">
      <c r="A241" s="25">
        <v>45758</v>
      </c>
      <c r="B241" s="13">
        <v>22828.55</v>
      </c>
      <c r="C241" s="13">
        <v>22695.4</v>
      </c>
      <c r="D241" s="13">
        <v>22923.9</v>
      </c>
      <c r="E241" s="13">
        <v>22695.4</v>
      </c>
      <c r="F241" t="s">
        <v>1061</v>
      </c>
      <c r="G241" s="4">
        <v>1.9199999999999998E-2</v>
      </c>
    </row>
    <row r="242" spans="1:7" x14ac:dyDescent="0.3">
      <c r="A242" s="25">
        <v>45756</v>
      </c>
      <c r="B242" s="13">
        <v>22399.15</v>
      </c>
      <c r="C242" s="13">
        <v>22460.3</v>
      </c>
      <c r="D242" s="13">
        <v>22468.7</v>
      </c>
      <c r="E242" s="13">
        <v>22353.25</v>
      </c>
      <c r="F242" t="s">
        <v>1060</v>
      </c>
      <c r="G242" s="4">
        <v>-6.1000000000000004E-3</v>
      </c>
    </row>
    <row r="243" spans="1:7" x14ac:dyDescent="0.3">
      <c r="A243" s="25">
        <v>45755</v>
      </c>
      <c r="B243" s="13">
        <v>22535.85</v>
      </c>
      <c r="C243" s="13">
        <v>22446.75</v>
      </c>
      <c r="D243" s="13">
        <v>22697.200000000001</v>
      </c>
      <c r="E243" s="13">
        <v>22270.85</v>
      </c>
      <c r="F243" t="s">
        <v>1059</v>
      </c>
      <c r="G243" s="4">
        <v>1.6899999999999998E-2</v>
      </c>
    </row>
    <row r="244" spans="1:7" x14ac:dyDescent="0.3">
      <c r="A244" s="25">
        <v>45754</v>
      </c>
      <c r="B244" s="13">
        <v>22161.599999999999</v>
      </c>
      <c r="C244" s="13">
        <v>21758.400000000001</v>
      </c>
      <c r="D244" s="13">
        <v>22254</v>
      </c>
      <c r="E244" s="13">
        <v>21743.65</v>
      </c>
      <c r="F244" t="s">
        <v>1058</v>
      </c>
      <c r="G244" s="4">
        <v>-3.2399999999999998E-2</v>
      </c>
    </row>
    <row r="245" spans="1:7" x14ac:dyDescent="0.3">
      <c r="A245" s="25">
        <v>45751</v>
      </c>
      <c r="B245" s="13">
        <v>22904.45</v>
      </c>
      <c r="C245" s="13">
        <v>23190.400000000001</v>
      </c>
      <c r="D245" s="13">
        <v>23214.7</v>
      </c>
      <c r="E245" s="13">
        <v>22857.45</v>
      </c>
      <c r="F245" t="s">
        <v>1057</v>
      </c>
      <c r="G245" s="4">
        <v>-1.49E-2</v>
      </c>
    </row>
    <row r="246" spans="1:7" x14ac:dyDescent="0.3">
      <c r="A246" s="25">
        <v>45750</v>
      </c>
      <c r="B246" s="13">
        <v>23250.1</v>
      </c>
      <c r="C246" s="13">
        <v>23150.3</v>
      </c>
      <c r="D246" s="13">
        <v>23306.5</v>
      </c>
      <c r="E246" s="13">
        <v>23145.8</v>
      </c>
      <c r="F246" t="s">
        <v>997</v>
      </c>
      <c r="G246" s="4">
        <v>-3.5000000000000001E-3</v>
      </c>
    </row>
    <row r="247" spans="1:7" x14ac:dyDescent="0.3">
      <c r="A247" s="25">
        <v>45749</v>
      </c>
      <c r="B247" s="13">
        <v>23332.35</v>
      </c>
      <c r="C247" s="13">
        <v>23192.6</v>
      </c>
      <c r="D247" s="13">
        <v>23350</v>
      </c>
      <c r="E247" s="13">
        <v>23158.45</v>
      </c>
      <c r="F247" t="s">
        <v>1056</v>
      </c>
      <c r="G247" s="4">
        <v>7.1999999999999998E-3</v>
      </c>
    </row>
    <row r="248" spans="1:7" x14ac:dyDescent="0.3">
      <c r="A248" s="25">
        <v>45748</v>
      </c>
      <c r="B248" s="13">
        <v>23165.7</v>
      </c>
      <c r="C248" s="13">
        <v>23341.1</v>
      </c>
      <c r="D248" s="13">
        <v>23565.15</v>
      </c>
      <c r="E248" s="13">
        <v>23136.400000000001</v>
      </c>
      <c r="F248" t="s">
        <v>371</v>
      </c>
      <c r="G248" s="4">
        <v>-1.4999999999999999E-2</v>
      </c>
    </row>
    <row r="249" spans="1:7" x14ac:dyDescent="0.3">
      <c r="A249" s="25">
        <v>45744</v>
      </c>
      <c r="B249" s="13">
        <v>23519.35</v>
      </c>
      <c r="C249" s="13">
        <v>23600.400000000001</v>
      </c>
      <c r="D249" s="13">
        <v>23649.200000000001</v>
      </c>
      <c r="E249" s="13">
        <v>23450.2</v>
      </c>
      <c r="F249" t="s">
        <v>1055</v>
      </c>
      <c r="G249" s="4">
        <v>-3.0999999999999999E-3</v>
      </c>
    </row>
    <row r="250" spans="1:7" x14ac:dyDescent="0.3">
      <c r="A250" s="25">
        <v>45743</v>
      </c>
      <c r="B250" s="13">
        <v>23591.95</v>
      </c>
      <c r="C250" s="13">
        <v>23433.95</v>
      </c>
      <c r="D250" s="13">
        <v>23646.45</v>
      </c>
      <c r="E250" s="13">
        <v>23412.2</v>
      </c>
      <c r="F250" t="s">
        <v>1054</v>
      </c>
      <c r="G250" s="4">
        <v>4.4999999999999997E-3</v>
      </c>
    </row>
    <row r="251" spans="1:7" x14ac:dyDescent="0.3">
      <c r="A251" s="25">
        <v>45742</v>
      </c>
      <c r="B251" s="13">
        <v>23486.85</v>
      </c>
      <c r="C251" s="13">
        <v>23700.95</v>
      </c>
      <c r="D251" s="13">
        <v>23736.5</v>
      </c>
      <c r="E251" s="13">
        <v>23451.7</v>
      </c>
      <c r="F251" t="s">
        <v>1053</v>
      </c>
      <c r="G251" s="4">
        <v>-7.7000000000000002E-3</v>
      </c>
    </row>
    <row r="252" spans="1:7" x14ac:dyDescent="0.3">
      <c r="A252" s="25">
        <v>45741</v>
      </c>
      <c r="B252" s="13">
        <v>23668.65</v>
      </c>
      <c r="C252" s="13">
        <v>23751.5</v>
      </c>
      <c r="D252" s="13">
        <v>23869.599999999999</v>
      </c>
      <c r="E252" s="13">
        <v>23601.4</v>
      </c>
      <c r="F252" t="s">
        <v>1052</v>
      </c>
      <c r="G252" s="4">
        <v>4.0000000000000002E-4</v>
      </c>
    </row>
    <row r="253" spans="1:7" x14ac:dyDescent="0.3">
      <c r="A253" s="25">
        <v>45740</v>
      </c>
      <c r="B253" s="13">
        <v>23658.35</v>
      </c>
      <c r="C253" s="13">
        <v>23515.4</v>
      </c>
      <c r="D253" s="13">
        <v>23708.75</v>
      </c>
      <c r="E253" s="13">
        <v>23433.5</v>
      </c>
      <c r="F253" t="s">
        <v>1051</v>
      </c>
      <c r="G253" s="4">
        <v>1.32E-2</v>
      </c>
    </row>
    <row r="254" spans="1:7" x14ac:dyDescent="0.3">
      <c r="A254" s="25">
        <v>45737</v>
      </c>
      <c r="B254" s="13">
        <v>23350.400000000001</v>
      </c>
      <c r="C254" s="13">
        <v>23168.25</v>
      </c>
      <c r="D254" s="13">
        <v>23402.7</v>
      </c>
      <c r="E254" s="13">
        <v>23132.799999999999</v>
      </c>
      <c r="F254" t="s">
        <v>1050</v>
      </c>
      <c r="G254" s="4">
        <v>6.8999999999999999E-3</v>
      </c>
    </row>
    <row r="255" spans="1:7" x14ac:dyDescent="0.3">
      <c r="A255" s="25">
        <v>45736</v>
      </c>
      <c r="B255" s="13">
        <v>23190.65</v>
      </c>
      <c r="C255" s="13">
        <v>23036.6</v>
      </c>
      <c r="D255" s="13">
        <v>23216.7</v>
      </c>
      <c r="E255" s="13">
        <v>22973.95</v>
      </c>
      <c r="F255" t="s">
        <v>1049</v>
      </c>
      <c r="G255" s="4">
        <v>1.24E-2</v>
      </c>
    </row>
    <row r="256" spans="1:7" x14ac:dyDescent="0.3">
      <c r="A256" s="25">
        <v>45735</v>
      </c>
      <c r="B256" s="13">
        <v>22907.599999999999</v>
      </c>
      <c r="C256" s="13">
        <v>22874.95</v>
      </c>
      <c r="D256" s="13">
        <v>22940.7</v>
      </c>
      <c r="E256" s="13">
        <v>22807.95</v>
      </c>
      <c r="F256" t="s">
        <v>1048</v>
      </c>
      <c r="G256" s="4">
        <v>3.2000000000000002E-3</v>
      </c>
    </row>
    <row r="257" spans="1:7" x14ac:dyDescent="0.3">
      <c r="A257" s="25">
        <v>45734</v>
      </c>
      <c r="B257" s="13">
        <v>22834.3</v>
      </c>
      <c r="C257" s="13">
        <v>22662.25</v>
      </c>
      <c r="D257" s="13">
        <v>22857.8</v>
      </c>
      <c r="E257" s="13">
        <v>22599.200000000001</v>
      </c>
      <c r="F257" t="s">
        <v>1047</v>
      </c>
      <c r="G257" s="4">
        <v>1.4500000000000001E-2</v>
      </c>
    </row>
    <row r="258" spans="1:7" x14ac:dyDescent="0.3">
      <c r="A258" s="25">
        <v>45733</v>
      </c>
      <c r="B258" s="13">
        <v>22508.75</v>
      </c>
      <c r="C258" s="13">
        <v>22353.15</v>
      </c>
      <c r="D258" s="13">
        <v>22577</v>
      </c>
      <c r="E258" s="13">
        <v>22353.15</v>
      </c>
      <c r="F258" t="s">
        <v>1046</v>
      </c>
      <c r="G258" s="4">
        <v>5.0000000000000001E-3</v>
      </c>
    </row>
    <row r="259" spans="1:7" x14ac:dyDescent="0.3">
      <c r="A259" s="25">
        <v>45729</v>
      </c>
      <c r="B259" s="13">
        <v>22397.200000000001</v>
      </c>
      <c r="C259" s="13">
        <v>22541.5</v>
      </c>
      <c r="D259" s="13">
        <v>22558.05</v>
      </c>
      <c r="E259" s="13">
        <v>22377.35</v>
      </c>
      <c r="F259" t="s">
        <v>143</v>
      </c>
      <c r="G259" s="4">
        <v>-3.3E-3</v>
      </c>
    </row>
    <row r="260" spans="1:7" x14ac:dyDescent="0.3">
      <c r="A260" s="25">
        <v>45728</v>
      </c>
      <c r="B260" s="13">
        <v>22470.5</v>
      </c>
      <c r="C260" s="13">
        <v>22536.35</v>
      </c>
      <c r="D260" s="13">
        <v>22577.4</v>
      </c>
      <c r="E260" s="13">
        <v>22329.55</v>
      </c>
      <c r="F260" t="s">
        <v>1045</v>
      </c>
      <c r="G260" s="4">
        <v>-1.1999999999999999E-3</v>
      </c>
    </row>
    <row r="261" spans="1:7" x14ac:dyDescent="0.3">
      <c r="A261" s="25">
        <v>45727</v>
      </c>
      <c r="B261" s="13">
        <v>22497.9</v>
      </c>
      <c r="C261" s="13">
        <v>22345.95</v>
      </c>
      <c r="D261" s="13">
        <v>22522.1</v>
      </c>
      <c r="E261" s="13">
        <v>22314.7</v>
      </c>
      <c r="F261" t="s">
        <v>1044</v>
      </c>
      <c r="G261" s="4">
        <v>1.6999999999999999E-3</v>
      </c>
    </row>
    <row r="262" spans="1:7" x14ac:dyDescent="0.3">
      <c r="A262" s="25">
        <v>45726</v>
      </c>
      <c r="B262" s="13">
        <v>22460.3</v>
      </c>
      <c r="C262" s="13">
        <v>22521.85</v>
      </c>
      <c r="D262" s="13">
        <v>22676.75</v>
      </c>
      <c r="E262" s="13">
        <v>22429.05</v>
      </c>
      <c r="F262" t="s">
        <v>1043</v>
      </c>
      <c r="G262" s="4">
        <v>-4.1000000000000003E-3</v>
      </c>
    </row>
    <row r="263" spans="1:7" x14ac:dyDescent="0.3">
      <c r="A263" s="25">
        <v>45723</v>
      </c>
      <c r="B263" s="13">
        <v>22552.5</v>
      </c>
      <c r="C263" s="13">
        <v>22508.65</v>
      </c>
      <c r="D263" s="13">
        <v>22633.8</v>
      </c>
      <c r="E263" s="13">
        <v>22464.75</v>
      </c>
      <c r="F263" t="s">
        <v>1042</v>
      </c>
      <c r="G263" s="4">
        <v>2.9999999999999997E-4</v>
      </c>
    </row>
    <row r="264" spans="1:7" x14ac:dyDescent="0.3">
      <c r="A264" s="25">
        <v>45722</v>
      </c>
      <c r="B264" s="13">
        <v>22544.7</v>
      </c>
      <c r="C264" s="13">
        <v>22476.35</v>
      </c>
      <c r="D264" s="13">
        <v>22556.45</v>
      </c>
      <c r="E264" s="13">
        <v>22245.85</v>
      </c>
      <c r="F264" t="s">
        <v>1041</v>
      </c>
      <c r="G264" s="4">
        <v>9.2999999999999992E-3</v>
      </c>
    </row>
    <row r="265" spans="1:7" x14ac:dyDescent="0.3">
      <c r="A265" s="25">
        <v>45721</v>
      </c>
      <c r="B265" s="13">
        <v>22337.3</v>
      </c>
      <c r="C265" s="13">
        <v>22073.05</v>
      </c>
      <c r="D265" s="13">
        <v>22394.9</v>
      </c>
      <c r="E265" s="13">
        <v>22067.8</v>
      </c>
      <c r="F265" t="s">
        <v>1040</v>
      </c>
      <c r="G265" s="4">
        <v>1.15E-2</v>
      </c>
    </row>
    <row r="266" spans="1:7" x14ac:dyDescent="0.3">
      <c r="A266" s="25">
        <v>45720</v>
      </c>
      <c r="B266" s="13">
        <v>22082.65</v>
      </c>
      <c r="C266" s="13">
        <v>21974.45</v>
      </c>
      <c r="D266" s="13">
        <v>22105.05</v>
      </c>
      <c r="E266" s="13">
        <v>21964.6</v>
      </c>
      <c r="F266" t="s">
        <v>1039</v>
      </c>
      <c r="G266" s="4">
        <v>-1.6999999999999999E-3</v>
      </c>
    </row>
    <row r="267" spans="1:7" x14ac:dyDescent="0.3">
      <c r="A267" s="25">
        <v>45719</v>
      </c>
      <c r="B267" s="13">
        <v>22119.3</v>
      </c>
      <c r="C267" s="13">
        <v>22194.55</v>
      </c>
      <c r="D267" s="13">
        <v>22261.55</v>
      </c>
      <c r="E267" s="13">
        <v>22004.7</v>
      </c>
      <c r="F267" t="s">
        <v>1038</v>
      </c>
      <c r="G267" s="4">
        <v>-2.0000000000000001E-4</v>
      </c>
    </row>
    <row r="268" spans="1:7" x14ac:dyDescent="0.3">
      <c r="A268" s="25">
        <v>45716</v>
      </c>
      <c r="B268" s="13">
        <v>22124.7</v>
      </c>
      <c r="C268" s="13">
        <v>22433.4</v>
      </c>
      <c r="D268" s="13">
        <v>22450.35</v>
      </c>
      <c r="E268" s="13">
        <v>22104.85</v>
      </c>
      <c r="F268" t="s">
        <v>1037</v>
      </c>
      <c r="G268" s="4">
        <v>-1.8599999999999998E-2</v>
      </c>
    </row>
    <row r="269" spans="1:7" x14ac:dyDescent="0.3">
      <c r="A269" s="25">
        <v>45715</v>
      </c>
      <c r="B269" s="13">
        <v>22545.05</v>
      </c>
      <c r="C269" s="13">
        <v>22568.95</v>
      </c>
      <c r="D269" s="13">
        <v>22613.3</v>
      </c>
      <c r="E269" s="13">
        <v>22508.400000000001</v>
      </c>
      <c r="F269" t="s">
        <v>1036</v>
      </c>
      <c r="G269" s="4">
        <v>-1E-4</v>
      </c>
    </row>
    <row r="270" spans="1:7" x14ac:dyDescent="0.3">
      <c r="A270" s="25">
        <v>45713</v>
      </c>
      <c r="B270" s="13">
        <v>22547.55</v>
      </c>
      <c r="C270" s="13">
        <v>22516.45</v>
      </c>
      <c r="D270" s="13">
        <v>22625.3</v>
      </c>
      <c r="E270" s="13">
        <v>22513.9</v>
      </c>
      <c r="F270" t="s">
        <v>1035</v>
      </c>
      <c r="G270" s="4">
        <v>-2.9999999999999997E-4</v>
      </c>
    </row>
    <row r="271" spans="1:7" x14ac:dyDescent="0.3">
      <c r="A271" s="25">
        <v>45712</v>
      </c>
      <c r="B271" s="13">
        <v>22553.35</v>
      </c>
      <c r="C271" s="13">
        <v>22609.35</v>
      </c>
      <c r="D271" s="13">
        <v>22668.05</v>
      </c>
      <c r="E271" s="13">
        <v>22518.799999999999</v>
      </c>
      <c r="F271" t="s">
        <v>1034</v>
      </c>
      <c r="G271" s="4">
        <v>-1.06E-2</v>
      </c>
    </row>
    <row r="272" spans="1:7" x14ac:dyDescent="0.3">
      <c r="A272" s="25">
        <v>45709</v>
      </c>
      <c r="B272" s="13">
        <v>22795.9</v>
      </c>
      <c r="C272" s="13">
        <v>22857.200000000001</v>
      </c>
      <c r="D272" s="13">
        <v>22921</v>
      </c>
      <c r="E272" s="13">
        <v>22720.3</v>
      </c>
      <c r="F272" t="s">
        <v>1033</v>
      </c>
      <c r="G272" s="4">
        <v>-5.1000000000000004E-3</v>
      </c>
    </row>
    <row r="273" spans="1:7" x14ac:dyDescent="0.3">
      <c r="A273" s="25">
        <v>45708</v>
      </c>
      <c r="B273" s="13">
        <v>22913.15</v>
      </c>
      <c r="C273" s="13">
        <v>22821.1</v>
      </c>
      <c r="D273" s="13">
        <v>22923.85</v>
      </c>
      <c r="E273" s="13">
        <v>22812.75</v>
      </c>
      <c r="F273" t="s">
        <v>1032</v>
      </c>
      <c r="G273" s="4">
        <v>-8.9999999999999998E-4</v>
      </c>
    </row>
    <row r="274" spans="1:7" x14ac:dyDescent="0.3">
      <c r="A274" s="25">
        <v>45707</v>
      </c>
      <c r="B274" s="13">
        <v>22932.9</v>
      </c>
      <c r="C274" s="13">
        <v>22847.25</v>
      </c>
      <c r="D274" s="13">
        <v>23049.95</v>
      </c>
      <c r="E274" s="13">
        <v>22814.85</v>
      </c>
      <c r="F274" t="s">
        <v>1031</v>
      </c>
      <c r="G274" s="4">
        <v>-5.0000000000000001E-4</v>
      </c>
    </row>
    <row r="275" spans="1:7" x14ac:dyDescent="0.3">
      <c r="A275" s="25">
        <v>45706</v>
      </c>
      <c r="B275" s="13">
        <v>22945.3</v>
      </c>
      <c r="C275" s="13">
        <v>22963.65</v>
      </c>
      <c r="D275" s="13">
        <v>22992.5</v>
      </c>
      <c r="E275" s="13">
        <v>22801.5</v>
      </c>
      <c r="F275" t="s">
        <v>1030</v>
      </c>
      <c r="G275" s="4">
        <v>-5.9999999999999995E-4</v>
      </c>
    </row>
    <row r="276" spans="1:7" x14ac:dyDescent="0.3">
      <c r="A276" s="25">
        <v>45705</v>
      </c>
      <c r="B276" s="13">
        <v>22959.5</v>
      </c>
      <c r="C276" s="13">
        <v>22809.9</v>
      </c>
      <c r="D276" s="13">
        <v>22974.2</v>
      </c>
      <c r="E276" s="13">
        <v>22725.45</v>
      </c>
      <c r="F276" t="s">
        <v>1029</v>
      </c>
      <c r="G276" s="4">
        <v>1.2999999999999999E-3</v>
      </c>
    </row>
    <row r="277" spans="1:7" x14ac:dyDescent="0.3">
      <c r="A277" s="25">
        <v>45702</v>
      </c>
      <c r="B277" s="13">
        <v>22929.25</v>
      </c>
      <c r="C277" s="13">
        <v>23096.45</v>
      </c>
      <c r="D277" s="13">
        <v>23133.7</v>
      </c>
      <c r="E277" s="13">
        <v>22774.85</v>
      </c>
      <c r="F277" t="s">
        <v>1028</v>
      </c>
      <c r="G277" s="4">
        <v>-4.4000000000000003E-3</v>
      </c>
    </row>
    <row r="278" spans="1:7" x14ac:dyDescent="0.3">
      <c r="A278" s="25">
        <v>45701</v>
      </c>
      <c r="B278" s="13">
        <v>23031.4</v>
      </c>
      <c r="C278" s="13">
        <v>23055.75</v>
      </c>
      <c r="D278" s="13">
        <v>23235.5</v>
      </c>
      <c r="E278" s="13">
        <v>22992.2</v>
      </c>
      <c r="F278" t="s">
        <v>1027</v>
      </c>
      <c r="G278" s="4">
        <v>-5.9999999999999995E-4</v>
      </c>
    </row>
    <row r="279" spans="1:7" x14ac:dyDescent="0.3">
      <c r="A279" s="25">
        <v>45700</v>
      </c>
      <c r="B279" s="13">
        <v>23045.25</v>
      </c>
      <c r="C279" s="13">
        <v>23050.799999999999</v>
      </c>
      <c r="D279" s="13">
        <v>23144.7</v>
      </c>
      <c r="E279" s="13">
        <v>22798.35</v>
      </c>
      <c r="F279" t="s">
        <v>1026</v>
      </c>
      <c r="G279" s="4">
        <v>-1.1999999999999999E-3</v>
      </c>
    </row>
    <row r="280" spans="1:7" x14ac:dyDescent="0.3">
      <c r="A280" s="25">
        <v>45699</v>
      </c>
      <c r="B280" s="13">
        <v>23071.8</v>
      </c>
      <c r="C280" s="13">
        <v>23383.55</v>
      </c>
      <c r="D280" s="13">
        <v>23390.05</v>
      </c>
      <c r="E280" s="13">
        <v>22986.65</v>
      </c>
      <c r="F280" t="s">
        <v>1025</v>
      </c>
      <c r="G280" s="4">
        <v>-1.32E-2</v>
      </c>
    </row>
    <row r="281" spans="1:7" x14ac:dyDescent="0.3">
      <c r="A281" s="25">
        <v>45698</v>
      </c>
      <c r="B281" s="13">
        <v>23381.599999999999</v>
      </c>
      <c r="C281" s="13">
        <v>23543.8</v>
      </c>
      <c r="D281" s="13">
        <v>23568.6</v>
      </c>
      <c r="E281" s="13">
        <v>23316.3</v>
      </c>
      <c r="F281" t="s">
        <v>1024</v>
      </c>
      <c r="G281" s="4">
        <v>-7.6E-3</v>
      </c>
    </row>
    <row r="282" spans="1:7" x14ac:dyDescent="0.3">
      <c r="A282" s="25">
        <v>45695</v>
      </c>
      <c r="B282" s="13">
        <v>23559.95</v>
      </c>
      <c r="C282" s="13">
        <v>23649.5</v>
      </c>
      <c r="D282" s="13">
        <v>23694.5</v>
      </c>
      <c r="E282" s="13">
        <v>23443.200000000001</v>
      </c>
      <c r="F282" t="s">
        <v>1023</v>
      </c>
      <c r="G282" s="4">
        <v>-1.8E-3</v>
      </c>
    </row>
    <row r="283" spans="1:7" x14ac:dyDescent="0.3">
      <c r="A283" s="25">
        <v>45694</v>
      </c>
      <c r="B283" s="13">
        <v>23603.35</v>
      </c>
      <c r="C283" s="13">
        <v>23761.95</v>
      </c>
      <c r="D283" s="13">
        <v>23773.55</v>
      </c>
      <c r="E283" s="13">
        <v>23556.25</v>
      </c>
      <c r="F283" t="s">
        <v>1022</v>
      </c>
      <c r="G283" s="4">
        <v>-3.8999999999999998E-3</v>
      </c>
    </row>
    <row r="284" spans="1:7" x14ac:dyDescent="0.3">
      <c r="A284" s="25">
        <v>45693</v>
      </c>
      <c r="B284" s="13">
        <v>23696.3</v>
      </c>
      <c r="C284" s="13">
        <v>23801.75</v>
      </c>
      <c r="D284" s="13">
        <v>23807.3</v>
      </c>
      <c r="E284" s="13">
        <v>23680.45</v>
      </c>
      <c r="F284" t="s">
        <v>1021</v>
      </c>
      <c r="G284" s="4">
        <v>-1.8E-3</v>
      </c>
    </row>
    <row r="285" spans="1:7" x14ac:dyDescent="0.3">
      <c r="A285" s="25">
        <v>45692</v>
      </c>
      <c r="B285" s="13">
        <v>23739.25</v>
      </c>
      <c r="C285" s="13">
        <v>23509.9</v>
      </c>
      <c r="D285" s="13">
        <v>23762.75</v>
      </c>
      <c r="E285" s="13">
        <v>23423.15</v>
      </c>
      <c r="F285" t="s">
        <v>1020</v>
      </c>
      <c r="G285" s="4">
        <v>1.6199999999999999E-2</v>
      </c>
    </row>
    <row r="286" spans="1:7" x14ac:dyDescent="0.3">
      <c r="A286" s="25">
        <v>45691</v>
      </c>
      <c r="B286" s="13">
        <v>23361.05</v>
      </c>
      <c r="C286" s="13">
        <v>23319.35</v>
      </c>
      <c r="D286" s="13">
        <v>23381.599999999999</v>
      </c>
      <c r="E286" s="13">
        <v>23222</v>
      </c>
      <c r="F286" t="s">
        <v>1019</v>
      </c>
      <c r="G286" s="4">
        <v>-5.1999999999999998E-3</v>
      </c>
    </row>
    <row r="287" spans="1:7" x14ac:dyDescent="0.3">
      <c r="A287" s="25">
        <v>45689</v>
      </c>
      <c r="B287" s="13">
        <v>23482.15</v>
      </c>
      <c r="C287" s="13">
        <v>23528.6</v>
      </c>
      <c r="D287" s="13">
        <v>23632.45</v>
      </c>
      <c r="E287" s="13">
        <v>23318.3</v>
      </c>
      <c r="F287" t="s">
        <v>1018</v>
      </c>
      <c r="G287" s="4">
        <v>-1.1000000000000001E-3</v>
      </c>
    </row>
    <row r="288" spans="1:7" x14ac:dyDescent="0.3">
      <c r="A288" s="25">
        <v>45688</v>
      </c>
      <c r="B288" s="13">
        <v>23508.400000000001</v>
      </c>
      <c r="C288" s="13">
        <v>23296.75</v>
      </c>
      <c r="D288" s="13">
        <v>23546.799999999999</v>
      </c>
      <c r="E288" s="13">
        <v>23277.4</v>
      </c>
      <c r="F288" t="s">
        <v>1017</v>
      </c>
      <c r="G288" s="4">
        <v>1.11E-2</v>
      </c>
    </row>
    <row r="289" spans="1:7" x14ac:dyDescent="0.3">
      <c r="A289" s="25">
        <v>45687</v>
      </c>
      <c r="B289" s="13">
        <v>23249.5</v>
      </c>
      <c r="C289" s="13">
        <v>23169.5</v>
      </c>
      <c r="D289" s="13">
        <v>23322.05</v>
      </c>
      <c r="E289" s="13">
        <v>23139.200000000001</v>
      </c>
      <c r="F289" t="s">
        <v>1016</v>
      </c>
      <c r="G289" s="4">
        <v>3.7000000000000002E-3</v>
      </c>
    </row>
    <row r="290" spans="1:7" x14ac:dyDescent="0.3">
      <c r="A290" s="25">
        <v>45686</v>
      </c>
      <c r="B290" s="13">
        <v>23163.1</v>
      </c>
      <c r="C290" s="13">
        <v>23026.75</v>
      </c>
      <c r="D290" s="13">
        <v>23183.35</v>
      </c>
      <c r="E290" s="13">
        <v>22976.5</v>
      </c>
      <c r="F290" t="s">
        <v>1015</v>
      </c>
      <c r="G290" s="4">
        <v>8.9999999999999993E-3</v>
      </c>
    </row>
    <row r="291" spans="1:7" x14ac:dyDescent="0.3">
      <c r="A291" s="25">
        <v>45685</v>
      </c>
      <c r="B291" s="13">
        <v>22957.25</v>
      </c>
      <c r="C291" s="13">
        <v>22960.45</v>
      </c>
      <c r="D291" s="13">
        <v>23137.95</v>
      </c>
      <c r="E291" s="13">
        <v>22857.65</v>
      </c>
      <c r="F291" t="s">
        <v>1014</v>
      </c>
      <c r="G291" s="4">
        <v>5.5999999999999999E-3</v>
      </c>
    </row>
    <row r="292" spans="1:7" x14ac:dyDescent="0.3">
      <c r="A292" s="25">
        <v>45684</v>
      </c>
      <c r="B292" s="13">
        <v>22829.15</v>
      </c>
      <c r="C292" s="13">
        <v>22940.15</v>
      </c>
      <c r="D292" s="13">
        <v>23007.45</v>
      </c>
      <c r="E292" s="13">
        <v>22786.9</v>
      </c>
      <c r="F292" t="s">
        <v>1013</v>
      </c>
      <c r="G292" s="4">
        <v>-1.14E-2</v>
      </c>
    </row>
    <row r="293" spans="1:7" x14ac:dyDescent="0.3">
      <c r="A293" s="25">
        <v>45681</v>
      </c>
      <c r="B293" s="13">
        <v>23092.2</v>
      </c>
      <c r="C293" s="13">
        <v>23183.9</v>
      </c>
      <c r="D293" s="13">
        <v>23347.3</v>
      </c>
      <c r="E293" s="13">
        <v>23050</v>
      </c>
      <c r="F293" t="s">
        <v>1012</v>
      </c>
      <c r="G293" s="4">
        <v>-4.8999999999999998E-3</v>
      </c>
    </row>
    <row r="294" spans="1:7" x14ac:dyDescent="0.3">
      <c r="A294" s="25">
        <v>45680</v>
      </c>
      <c r="B294" s="13">
        <v>23205.35</v>
      </c>
      <c r="C294" s="13">
        <v>23128.3</v>
      </c>
      <c r="D294" s="13">
        <v>23270.799999999999</v>
      </c>
      <c r="E294" s="13">
        <v>23090.65</v>
      </c>
      <c r="F294" t="s">
        <v>1011</v>
      </c>
      <c r="G294" s="4">
        <v>2.2000000000000001E-3</v>
      </c>
    </row>
    <row r="295" spans="1:7" x14ac:dyDescent="0.3">
      <c r="A295" s="25">
        <v>45679</v>
      </c>
      <c r="B295" s="13">
        <v>23155.35</v>
      </c>
      <c r="C295" s="13">
        <v>23099.15</v>
      </c>
      <c r="D295" s="13">
        <v>23169.55</v>
      </c>
      <c r="E295" s="13">
        <v>22981.3</v>
      </c>
      <c r="F295" t="s">
        <v>1010</v>
      </c>
      <c r="G295" s="4">
        <v>5.7000000000000002E-3</v>
      </c>
    </row>
    <row r="296" spans="1:7" x14ac:dyDescent="0.3">
      <c r="A296" s="25">
        <v>45678</v>
      </c>
      <c r="B296" s="13">
        <v>23024.65</v>
      </c>
      <c r="C296" s="13">
        <v>23421.65</v>
      </c>
      <c r="D296" s="13">
        <v>23426.3</v>
      </c>
      <c r="E296" s="13">
        <v>22976.85</v>
      </c>
      <c r="F296" t="s">
        <v>1009</v>
      </c>
      <c r="G296" s="4">
        <v>-1.37E-2</v>
      </c>
    </row>
    <row r="297" spans="1:7" x14ac:dyDescent="0.3">
      <c r="A297" s="25">
        <v>45677</v>
      </c>
      <c r="B297" s="13">
        <v>23344.75</v>
      </c>
      <c r="C297" s="13">
        <v>23290.400000000001</v>
      </c>
      <c r="D297" s="13">
        <v>23391.1</v>
      </c>
      <c r="E297" s="13">
        <v>23170.65</v>
      </c>
      <c r="F297" t="s">
        <v>1008</v>
      </c>
      <c r="G297" s="4">
        <v>6.1000000000000004E-3</v>
      </c>
    </row>
    <row r="298" spans="1:7" x14ac:dyDescent="0.3">
      <c r="A298" s="25">
        <v>45674</v>
      </c>
      <c r="B298" s="13">
        <v>23203.200000000001</v>
      </c>
      <c r="C298" s="13">
        <v>23277.1</v>
      </c>
      <c r="D298" s="13">
        <v>23292.1</v>
      </c>
      <c r="E298" s="13">
        <v>23100.35</v>
      </c>
      <c r="F298" t="s">
        <v>1007</v>
      </c>
      <c r="G298" s="4">
        <v>-4.7000000000000002E-3</v>
      </c>
    </row>
    <row r="299" spans="1:7" x14ac:dyDescent="0.3">
      <c r="A299" s="25">
        <v>45673</v>
      </c>
      <c r="B299" s="13">
        <v>23311.8</v>
      </c>
      <c r="C299" s="13">
        <v>23377.25</v>
      </c>
      <c r="D299" s="13">
        <v>23391.65</v>
      </c>
      <c r="E299" s="13">
        <v>23272.05</v>
      </c>
      <c r="F299" t="s">
        <v>1006</v>
      </c>
      <c r="G299" s="4">
        <v>4.1999999999999997E-3</v>
      </c>
    </row>
    <row r="300" spans="1:7" x14ac:dyDescent="0.3">
      <c r="A300" s="25">
        <v>45672</v>
      </c>
      <c r="B300" s="13">
        <v>23213.200000000001</v>
      </c>
      <c r="C300" s="13">
        <v>23250.45</v>
      </c>
      <c r="D300" s="13">
        <v>23293.65</v>
      </c>
      <c r="E300" s="13">
        <v>23146.45</v>
      </c>
      <c r="F300" t="s">
        <v>574</v>
      </c>
      <c r="G300" s="4">
        <v>1.6000000000000001E-3</v>
      </c>
    </row>
    <row r="301" spans="1:7" x14ac:dyDescent="0.3">
      <c r="A301" s="25">
        <v>45671</v>
      </c>
      <c r="B301" s="13">
        <v>23176.05</v>
      </c>
      <c r="C301" s="13">
        <v>23165.9</v>
      </c>
      <c r="D301" s="13">
        <v>23264.95</v>
      </c>
      <c r="E301" s="13">
        <v>23134.15</v>
      </c>
      <c r="F301" t="s">
        <v>1005</v>
      </c>
      <c r="G301" s="4">
        <v>3.8999999999999998E-3</v>
      </c>
    </row>
    <row r="302" spans="1:7" x14ac:dyDescent="0.3">
      <c r="A302" s="25">
        <v>45670</v>
      </c>
      <c r="B302" s="13">
        <v>23085.95</v>
      </c>
      <c r="C302" s="13">
        <v>23195.4</v>
      </c>
      <c r="D302" s="13">
        <v>23340.95</v>
      </c>
      <c r="E302" s="13">
        <v>23047.25</v>
      </c>
      <c r="F302" t="s">
        <v>1004</v>
      </c>
      <c r="G302" s="4">
        <v>-1.47E-2</v>
      </c>
    </row>
    <row r="303" spans="1:7" x14ac:dyDescent="0.3">
      <c r="A303" s="25">
        <v>45667</v>
      </c>
      <c r="B303" s="13">
        <v>23431.5</v>
      </c>
      <c r="C303" s="13">
        <v>23551.9</v>
      </c>
      <c r="D303" s="13">
        <v>23596.6</v>
      </c>
      <c r="E303" s="13">
        <v>23344.35</v>
      </c>
      <c r="F303" t="s">
        <v>1003</v>
      </c>
      <c r="G303" s="4">
        <v>-4.0000000000000001E-3</v>
      </c>
    </row>
    <row r="304" spans="1:7" x14ac:dyDescent="0.3">
      <c r="A304" s="25">
        <v>45666</v>
      </c>
      <c r="B304" s="13">
        <v>23526.5</v>
      </c>
      <c r="C304" s="13">
        <v>23674.75</v>
      </c>
      <c r="D304" s="13">
        <v>23689.5</v>
      </c>
      <c r="E304" s="13">
        <v>23503.05</v>
      </c>
      <c r="F304" t="s">
        <v>1002</v>
      </c>
      <c r="G304" s="4">
        <v>-6.8999999999999999E-3</v>
      </c>
    </row>
    <row r="305" spans="1:7" x14ac:dyDescent="0.3">
      <c r="A305" s="25">
        <v>45665</v>
      </c>
      <c r="B305" s="13">
        <v>23688.95</v>
      </c>
      <c r="C305" s="13">
        <v>23746.65</v>
      </c>
      <c r="D305" s="13">
        <v>23751.85</v>
      </c>
      <c r="E305" s="13">
        <v>23496.15</v>
      </c>
      <c r="F305" t="s">
        <v>1001</v>
      </c>
      <c r="G305" s="4">
        <v>-8.0000000000000004E-4</v>
      </c>
    </row>
    <row r="306" spans="1:7" x14ac:dyDescent="0.3">
      <c r="A306" s="25">
        <v>45664</v>
      </c>
      <c r="B306" s="13">
        <v>23707.9</v>
      </c>
      <c r="C306" s="13">
        <v>23679.9</v>
      </c>
      <c r="D306" s="13">
        <v>23795.200000000001</v>
      </c>
      <c r="E306" s="13">
        <v>23637.8</v>
      </c>
      <c r="F306" t="s">
        <v>1000</v>
      </c>
      <c r="G306" s="4">
        <v>3.8999999999999998E-3</v>
      </c>
    </row>
    <row r="307" spans="1:7" x14ac:dyDescent="0.3">
      <c r="A307" s="25">
        <v>45663</v>
      </c>
      <c r="B307" s="13">
        <v>23616.05</v>
      </c>
      <c r="C307" s="13">
        <v>24045.8</v>
      </c>
      <c r="D307" s="13">
        <v>24089.95</v>
      </c>
      <c r="E307" s="13">
        <v>23551.9</v>
      </c>
      <c r="F307" t="s">
        <v>999</v>
      </c>
      <c r="G307" s="4">
        <v>-1.6199999999999999E-2</v>
      </c>
    </row>
    <row r="308" spans="1:7" x14ac:dyDescent="0.3">
      <c r="A308" s="25">
        <v>45660</v>
      </c>
      <c r="B308" s="13">
        <v>24004.75</v>
      </c>
      <c r="C308" s="13">
        <v>24196.400000000001</v>
      </c>
      <c r="D308" s="13">
        <v>24196.45</v>
      </c>
      <c r="E308" s="13">
        <v>23976</v>
      </c>
      <c r="F308" t="s">
        <v>998</v>
      </c>
      <c r="G308" s="4">
        <v>-7.6E-3</v>
      </c>
    </row>
    <row r="309" spans="1:7" x14ac:dyDescent="0.3">
      <c r="A309" s="25">
        <v>45659</v>
      </c>
      <c r="B309" s="13">
        <v>24188.65</v>
      </c>
      <c r="C309" s="13">
        <v>23783</v>
      </c>
      <c r="D309" s="13">
        <v>24226.7</v>
      </c>
      <c r="E309" s="13">
        <v>23751.55</v>
      </c>
      <c r="F309" t="s">
        <v>997</v>
      </c>
      <c r="G309" s="4">
        <v>1.8800000000000001E-2</v>
      </c>
    </row>
    <row r="310" spans="1:7" x14ac:dyDescent="0.3">
      <c r="A310" s="25">
        <v>45658</v>
      </c>
      <c r="B310" s="13">
        <v>23742.9</v>
      </c>
      <c r="C310" s="13">
        <v>23637.65</v>
      </c>
      <c r="D310" s="13">
        <v>23822.799999999999</v>
      </c>
      <c r="E310" s="13">
        <v>23562.799999999999</v>
      </c>
      <c r="F310" t="s">
        <v>996</v>
      </c>
      <c r="G310" s="4">
        <v>4.1000000000000003E-3</v>
      </c>
    </row>
    <row r="311" spans="1:7" x14ac:dyDescent="0.3">
      <c r="A311" s="25">
        <v>45657</v>
      </c>
      <c r="B311" s="13">
        <v>23644.799999999999</v>
      </c>
      <c r="C311" s="13">
        <v>23560.6</v>
      </c>
      <c r="D311" s="13">
        <v>23689.85</v>
      </c>
      <c r="E311" s="13">
        <v>23460.45</v>
      </c>
      <c r="F311" t="s">
        <v>995</v>
      </c>
      <c r="G311" s="4">
        <v>0</v>
      </c>
    </row>
    <row r="312" spans="1:7" x14ac:dyDescent="0.3">
      <c r="A312" s="25">
        <v>45656</v>
      </c>
      <c r="B312" s="13">
        <v>23644.9</v>
      </c>
      <c r="C312" s="13">
        <v>23796.9</v>
      </c>
      <c r="D312" s="13">
        <v>23915.35</v>
      </c>
      <c r="E312" s="13">
        <v>23599.3</v>
      </c>
      <c r="F312" t="s">
        <v>994</v>
      </c>
      <c r="G312" s="4">
        <v>-7.1000000000000004E-3</v>
      </c>
    </row>
    <row r="313" spans="1:7" x14ac:dyDescent="0.3">
      <c r="A313" s="25">
        <v>45653</v>
      </c>
      <c r="B313" s="13">
        <v>23813.4</v>
      </c>
      <c r="C313" s="13">
        <v>23801.4</v>
      </c>
      <c r="D313" s="13">
        <v>23938.85</v>
      </c>
      <c r="E313" s="13">
        <v>23800.6</v>
      </c>
      <c r="F313" t="s">
        <v>993</v>
      </c>
      <c r="G313" s="4">
        <v>2.7000000000000001E-3</v>
      </c>
    </row>
    <row r="314" spans="1:7" x14ac:dyDescent="0.3">
      <c r="A314" s="25">
        <v>45652</v>
      </c>
      <c r="B314" s="13">
        <v>23750.2</v>
      </c>
      <c r="C314" s="13">
        <v>23775.8</v>
      </c>
      <c r="D314" s="13">
        <v>23854.5</v>
      </c>
      <c r="E314" s="13">
        <v>23653.599999999999</v>
      </c>
      <c r="F314" t="s">
        <v>491</v>
      </c>
      <c r="G314" s="4">
        <v>1E-3</v>
      </c>
    </row>
    <row r="315" spans="1:7" x14ac:dyDescent="0.3">
      <c r="A315" s="25">
        <v>45650</v>
      </c>
      <c r="B315" s="13">
        <v>23727.65</v>
      </c>
      <c r="C315" s="13">
        <v>23769.1</v>
      </c>
      <c r="D315" s="13">
        <v>23867.65</v>
      </c>
      <c r="E315" s="13">
        <v>23685.15</v>
      </c>
      <c r="F315" t="s">
        <v>992</v>
      </c>
      <c r="G315" s="4">
        <v>-1.1000000000000001E-3</v>
      </c>
    </row>
    <row r="316" spans="1:7" x14ac:dyDescent="0.3">
      <c r="A316" s="25">
        <v>45649</v>
      </c>
      <c r="B316" s="13">
        <v>23753.45</v>
      </c>
      <c r="C316" s="13">
        <v>23738.2</v>
      </c>
      <c r="D316" s="13">
        <v>23869.55</v>
      </c>
      <c r="E316" s="13">
        <v>23647.200000000001</v>
      </c>
      <c r="F316" t="s">
        <v>991</v>
      </c>
      <c r="G316" s="4">
        <v>7.0000000000000001E-3</v>
      </c>
    </row>
    <row r="317" spans="1:7" x14ac:dyDescent="0.3">
      <c r="A317" s="25">
        <v>45646</v>
      </c>
      <c r="B317" s="13">
        <v>23587.5</v>
      </c>
      <c r="C317" s="13">
        <v>23960.7</v>
      </c>
      <c r="D317" s="13">
        <v>24065.8</v>
      </c>
      <c r="E317" s="13">
        <v>23537.35</v>
      </c>
      <c r="F317" t="s">
        <v>990</v>
      </c>
      <c r="G317" s="4">
        <v>-1.52E-2</v>
      </c>
    </row>
    <row r="318" spans="1:7" x14ac:dyDescent="0.3">
      <c r="A318" s="25">
        <v>45645</v>
      </c>
      <c r="B318" s="13">
        <v>23951.7</v>
      </c>
      <c r="C318" s="13">
        <v>23877.15</v>
      </c>
      <c r="D318" s="13">
        <v>24004.9</v>
      </c>
      <c r="E318" s="13">
        <v>23870.3</v>
      </c>
      <c r="F318" t="s">
        <v>989</v>
      </c>
      <c r="G318" s="4">
        <v>-1.0200000000000001E-2</v>
      </c>
    </row>
    <row r="319" spans="1:7" x14ac:dyDescent="0.3">
      <c r="A319" s="25">
        <v>45644</v>
      </c>
      <c r="B319" s="13">
        <v>24198.85</v>
      </c>
      <c r="C319" s="13">
        <v>24297.95</v>
      </c>
      <c r="D319" s="13">
        <v>24394.45</v>
      </c>
      <c r="E319" s="13">
        <v>24149.85</v>
      </c>
      <c r="F319" t="s">
        <v>988</v>
      </c>
      <c r="G319" s="4">
        <v>-5.5999999999999999E-3</v>
      </c>
    </row>
    <row r="320" spans="1:7" x14ac:dyDescent="0.3">
      <c r="A320" s="25">
        <v>45643</v>
      </c>
      <c r="B320" s="13">
        <v>24336</v>
      </c>
      <c r="C320" s="13">
        <v>24584.799999999999</v>
      </c>
      <c r="D320" s="13">
        <v>24624.1</v>
      </c>
      <c r="E320" s="13">
        <v>24303.45</v>
      </c>
      <c r="F320" t="s">
        <v>987</v>
      </c>
      <c r="G320" s="4">
        <v>-1.35E-2</v>
      </c>
    </row>
    <row r="321" spans="1:7" x14ac:dyDescent="0.3">
      <c r="A321" s="25">
        <v>45642</v>
      </c>
      <c r="B321" s="13">
        <v>24668.25</v>
      </c>
      <c r="C321" s="13">
        <v>24753.4</v>
      </c>
      <c r="D321" s="13">
        <v>24781.25</v>
      </c>
      <c r="E321" s="13">
        <v>24601.75</v>
      </c>
      <c r="F321" t="s">
        <v>986</v>
      </c>
      <c r="G321" s="4">
        <v>-4.0000000000000001E-3</v>
      </c>
    </row>
    <row r="322" spans="1:7" x14ac:dyDescent="0.3">
      <c r="A322" s="25">
        <v>45639</v>
      </c>
      <c r="B322" s="13">
        <v>24768.3</v>
      </c>
      <c r="C322" s="13">
        <v>24498.35</v>
      </c>
      <c r="D322" s="13">
        <v>24792.3</v>
      </c>
      <c r="E322" s="13">
        <v>24180.799999999999</v>
      </c>
      <c r="F322" t="s">
        <v>985</v>
      </c>
      <c r="G322" s="4">
        <v>8.8999999999999999E-3</v>
      </c>
    </row>
    <row r="323" spans="1:7" x14ac:dyDescent="0.3">
      <c r="A323" s="25">
        <v>45638</v>
      </c>
      <c r="B323" s="13">
        <v>24548.7</v>
      </c>
      <c r="C323" s="13">
        <v>24604.45</v>
      </c>
      <c r="D323" s="13">
        <v>24675.25</v>
      </c>
      <c r="E323" s="13">
        <v>24527.95</v>
      </c>
      <c r="F323" t="s">
        <v>984</v>
      </c>
      <c r="G323" s="4">
        <v>-3.8E-3</v>
      </c>
    </row>
    <row r="324" spans="1:7" x14ac:dyDescent="0.3">
      <c r="A324" s="25">
        <v>45637</v>
      </c>
      <c r="B324" s="13">
        <v>24641.8</v>
      </c>
      <c r="C324" s="13">
        <v>24620.5</v>
      </c>
      <c r="D324" s="13">
        <v>24691.75</v>
      </c>
      <c r="E324" s="13">
        <v>24583.85</v>
      </c>
      <c r="F324" t="s">
        <v>983</v>
      </c>
      <c r="G324" s="4">
        <v>1.2999999999999999E-3</v>
      </c>
    </row>
    <row r="325" spans="1:7" x14ac:dyDescent="0.3">
      <c r="A325" s="25">
        <v>45636</v>
      </c>
      <c r="B325" s="13">
        <v>24610.05</v>
      </c>
      <c r="C325" s="13">
        <v>24652.65</v>
      </c>
      <c r="D325" s="13">
        <v>24677.8</v>
      </c>
      <c r="E325" s="13">
        <v>24510.65</v>
      </c>
      <c r="F325" t="s">
        <v>982</v>
      </c>
      <c r="G325" s="4">
        <v>-4.0000000000000002E-4</v>
      </c>
    </row>
    <row r="326" spans="1:7" x14ac:dyDescent="0.3">
      <c r="A326" s="25">
        <v>45635</v>
      </c>
      <c r="B326" s="13">
        <v>24619</v>
      </c>
      <c r="C326" s="13">
        <v>24633.9</v>
      </c>
      <c r="D326" s="13">
        <v>24705</v>
      </c>
      <c r="E326" s="13">
        <v>24580.05</v>
      </c>
      <c r="F326" t="s">
        <v>981</v>
      </c>
      <c r="G326" s="4">
        <v>-2.3999999999999998E-3</v>
      </c>
    </row>
    <row r="327" spans="1:7" x14ac:dyDescent="0.3">
      <c r="A327" s="25">
        <v>45632</v>
      </c>
      <c r="B327" s="13">
        <v>24677.8</v>
      </c>
      <c r="C327" s="13">
        <v>24729.45</v>
      </c>
      <c r="D327" s="13">
        <v>24751.05</v>
      </c>
      <c r="E327" s="13">
        <v>24620.5</v>
      </c>
      <c r="F327" t="s">
        <v>980</v>
      </c>
      <c r="G327" s="4">
        <v>-1.1999999999999999E-3</v>
      </c>
    </row>
    <row r="328" spans="1:7" x14ac:dyDescent="0.3">
      <c r="A328" s="25">
        <v>45631</v>
      </c>
      <c r="B328" s="13">
        <v>24708.400000000001</v>
      </c>
      <c r="C328" s="13">
        <v>24539.15</v>
      </c>
      <c r="D328" s="13">
        <v>24857.75</v>
      </c>
      <c r="E328" s="13">
        <v>24295.55</v>
      </c>
      <c r="F328" t="s">
        <v>979</v>
      </c>
      <c r="G328" s="4">
        <v>9.7999999999999997E-3</v>
      </c>
    </row>
    <row r="329" spans="1:7" x14ac:dyDescent="0.3">
      <c r="A329" s="25">
        <v>45630</v>
      </c>
      <c r="B329" s="13">
        <v>24467.45</v>
      </c>
      <c r="C329" s="13">
        <v>24488.75</v>
      </c>
      <c r="D329" s="13">
        <v>24573.200000000001</v>
      </c>
      <c r="E329" s="13">
        <v>24366.3</v>
      </c>
      <c r="F329" t="s">
        <v>978</v>
      </c>
      <c r="G329" s="4">
        <v>4.0000000000000002E-4</v>
      </c>
    </row>
    <row r="330" spans="1:7" x14ac:dyDescent="0.3">
      <c r="A330" s="25">
        <v>45629</v>
      </c>
      <c r="B330" s="13">
        <v>24457.15</v>
      </c>
      <c r="C330" s="13">
        <v>24367.5</v>
      </c>
      <c r="D330" s="13">
        <v>24481.35</v>
      </c>
      <c r="E330" s="13">
        <v>24280</v>
      </c>
      <c r="F330" t="s">
        <v>977</v>
      </c>
      <c r="G330" s="4">
        <v>7.4999999999999997E-3</v>
      </c>
    </row>
    <row r="331" spans="1:7" x14ac:dyDescent="0.3">
      <c r="A331" s="25">
        <v>45628</v>
      </c>
      <c r="B331" s="13">
        <v>24276.05</v>
      </c>
      <c r="C331" s="13">
        <v>24140.85</v>
      </c>
      <c r="D331" s="13">
        <v>24301.7</v>
      </c>
      <c r="E331" s="13">
        <v>24008.65</v>
      </c>
      <c r="F331" t="s">
        <v>976</v>
      </c>
      <c r="G331" s="4">
        <v>6.0000000000000001E-3</v>
      </c>
    </row>
    <row r="332" spans="1:7" x14ac:dyDescent="0.3">
      <c r="A332" s="25">
        <v>45625</v>
      </c>
      <c r="B332" s="13">
        <v>24131.1</v>
      </c>
      <c r="C332" s="13">
        <v>23927.15</v>
      </c>
      <c r="D332" s="13">
        <v>24188.45</v>
      </c>
      <c r="E332" s="13">
        <v>23927.15</v>
      </c>
      <c r="F332" t="s">
        <v>975</v>
      </c>
      <c r="G332" s="4">
        <v>9.1000000000000004E-3</v>
      </c>
    </row>
    <row r="333" spans="1:7" x14ac:dyDescent="0.3">
      <c r="A333" s="25">
        <v>45624</v>
      </c>
      <c r="B333" s="13">
        <v>23914.15</v>
      </c>
      <c r="C333" s="13">
        <v>24274.15</v>
      </c>
      <c r="D333" s="13">
        <v>24345.75</v>
      </c>
      <c r="E333" s="13">
        <v>23873.35</v>
      </c>
      <c r="F333" t="s">
        <v>974</v>
      </c>
      <c r="G333" s="4">
        <v>-1.49E-2</v>
      </c>
    </row>
    <row r="334" spans="1:7" x14ac:dyDescent="0.3">
      <c r="A334" s="25">
        <v>45623</v>
      </c>
      <c r="B334" s="13">
        <v>24274.9</v>
      </c>
      <c r="C334" s="13">
        <v>24204.799999999999</v>
      </c>
      <c r="D334" s="13">
        <v>24354.55</v>
      </c>
      <c r="E334" s="13">
        <v>24145.65</v>
      </c>
      <c r="F334" t="s">
        <v>973</v>
      </c>
      <c r="G334" s="4">
        <v>3.3E-3</v>
      </c>
    </row>
    <row r="335" spans="1:7" x14ac:dyDescent="0.3">
      <c r="A335" s="25">
        <v>45622</v>
      </c>
      <c r="B335" s="13">
        <v>24194.5</v>
      </c>
      <c r="C335" s="13">
        <v>24343.3</v>
      </c>
      <c r="D335" s="13">
        <v>24343.3</v>
      </c>
      <c r="E335" s="13">
        <v>24125.4</v>
      </c>
      <c r="F335" t="s">
        <v>972</v>
      </c>
      <c r="G335" s="4">
        <v>-1.1000000000000001E-3</v>
      </c>
    </row>
    <row r="336" spans="1:7" x14ac:dyDescent="0.3">
      <c r="A336" s="25">
        <v>45621</v>
      </c>
      <c r="B336" s="13">
        <v>24221.9</v>
      </c>
      <c r="C336" s="13">
        <v>24253.55</v>
      </c>
      <c r="D336" s="13">
        <v>24351.55</v>
      </c>
      <c r="E336" s="13">
        <v>24135.45</v>
      </c>
      <c r="F336" t="s">
        <v>971</v>
      </c>
      <c r="G336" s="4">
        <v>1.32E-2</v>
      </c>
    </row>
    <row r="337" spans="1:7" x14ac:dyDescent="0.3">
      <c r="A337" s="25">
        <v>45618</v>
      </c>
      <c r="B337" s="13">
        <v>23907.25</v>
      </c>
      <c r="C337" s="13">
        <v>23411.8</v>
      </c>
      <c r="D337" s="13">
        <v>23956.1</v>
      </c>
      <c r="E337" s="13">
        <v>23359</v>
      </c>
      <c r="F337" t="s">
        <v>970</v>
      </c>
      <c r="G337" s="4">
        <v>2.3900000000000001E-2</v>
      </c>
    </row>
    <row r="338" spans="1:7" x14ac:dyDescent="0.3">
      <c r="A338" s="25">
        <v>45617</v>
      </c>
      <c r="B338" s="13">
        <v>23349.9</v>
      </c>
      <c r="C338" s="13">
        <v>23488.45</v>
      </c>
      <c r="D338" s="13">
        <v>23507.3</v>
      </c>
      <c r="E338" s="13">
        <v>23263.15</v>
      </c>
      <c r="F338" t="s">
        <v>969</v>
      </c>
      <c r="G338" s="4">
        <v>-7.1999999999999998E-3</v>
      </c>
    </row>
    <row r="339" spans="1:7" x14ac:dyDescent="0.3">
      <c r="A339" s="25">
        <v>45615</v>
      </c>
      <c r="B339" s="13">
        <v>23518.5</v>
      </c>
      <c r="C339" s="13">
        <v>23529.55</v>
      </c>
      <c r="D339" s="13">
        <v>23780.65</v>
      </c>
      <c r="E339" s="13">
        <v>23464.799999999999</v>
      </c>
      <c r="F339" t="s">
        <v>968</v>
      </c>
      <c r="G339" s="4">
        <v>2.8E-3</v>
      </c>
    </row>
    <row r="340" spans="1:7" x14ac:dyDescent="0.3">
      <c r="A340" s="25">
        <v>45614</v>
      </c>
      <c r="B340" s="13">
        <v>23453.8</v>
      </c>
      <c r="C340" s="13">
        <v>23605.3</v>
      </c>
      <c r="D340" s="13">
        <v>23606.799999999999</v>
      </c>
      <c r="E340" s="13">
        <v>23350.400000000001</v>
      </c>
      <c r="F340" t="s">
        <v>967</v>
      </c>
      <c r="G340" s="4">
        <v>-3.3999999999999998E-3</v>
      </c>
    </row>
    <row r="341" spans="1:7" x14ac:dyDescent="0.3">
      <c r="A341" s="25">
        <v>45610</v>
      </c>
      <c r="B341" s="13">
        <v>23532.7</v>
      </c>
      <c r="C341" s="13">
        <v>23542.15</v>
      </c>
      <c r="D341" s="13">
        <v>23675.9</v>
      </c>
      <c r="E341" s="13">
        <v>23484.15</v>
      </c>
      <c r="F341" t="s">
        <v>966</v>
      </c>
      <c r="G341" s="4">
        <v>-1.1000000000000001E-3</v>
      </c>
    </row>
    <row r="342" spans="1:7" x14ac:dyDescent="0.3">
      <c r="A342" s="25">
        <v>45609</v>
      </c>
      <c r="B342" s="13">
        <v>23559.05</v>
      </c>
      <c r="C342" s="13">
        <v>23822.45</v>
      </c>
      <c r="D342" s="13">
        <v>23873.599999999999</v>
      </c>
      <c r="E342" s="13">
        <v>23509.599999999999</v>
      </c>
      <c r="F342" t="s">
        <v>965</v>
      </c>
      <c r="G342" s="4">
        <v>-1.3599999999999999E-2</v>
      </c>
    </row>
    <row r="343" spans="1:7" x14ac:dyDescent="0.3">
      <c r="A343" s="25">
        <v>45608</v>
      </c>
      <c r="B343" s="13">
        <v>23883.45</v>
      </c>
      <c r="C343" s="13">
        <v>24225.8</v>
      </c>
      <c r="D343" s="13">
        <v>24242</v>
      </c>
      <c r="E343" s="13">
        <v>23839.15</v>
      </c>
      <c r="F343" t="s">
        <v>964</v>
      </c>
      <c r="G343" s="4">
        <v>-1.0699999999999999E-2</v>
      </c>
    </row>
    <row r="344" spans="1:7" x14ac:dyDescent="0.3">
      <c r="A344" s="25">
        <v>45607</v>
      </c>
      <c r="B344" s="13">
        <v>24141.3</v>
      </c>
      <c r="C344" s="13">
        <v>24087.25</v>
      </c>
      <c r="D344" s="13">
        <v>24336.799999999999</v>
      </c>
      <c r="E344" s="13">
        <v>24004.6</v>
      </c>
      <c r="F344" t="s">
        <v>963</v>
      </c>
      <c r="G344" s="4">
        <v>-2.9999999999999997E-4</v>
      </c>
    </row>
    <row r="345" spans="1:7" x14ac:dyDescent="0.3">
      <c r="A345" s="25">
        <v>45604</v>
      </c>
      <c r="B345" s="13">
        <v>24148.2</v>
      </c>
      <c r="C345" s="13">
        <v>24207.7</v>
      </c>
      <c r="D345" s="13">
        <v>24276.15</v>
      </c>
      <c r="E345" s="13">
        <v>24066.65</v>
      </c>
      <c r="F345" t="s">
        <v>962</v>
      </c>
      <c r="G345" s="4">
        <v>-2.0999999999999999E-3</v>
      </c>
    </row>
    <row r="346" spans="1:7" x14ac:dyDescent="0.3">
      <c r="A346" s="25">
        <v>45603</v>
      </c>
      <c r="B346" s="13">
        <v>24199.35</v>
      </c>
      <c r="C346" s="13">
        <v>24489.599999999999</v>
      </c>
      <c r="D346" s="13">
        <v>24503.35</v>
      </c>
      <c r="E346" s="13">
        <v>24179.05</v>
      </c>
      <c r="F346" t="s">
        <v>961</v>
      </c>
      <c r="G346" s="4">
        <v>-1.1599999999999999E-2</v>
      </c>
    </row>
    <row r="347" spans="1:7" x14ac:dyDescent="0.3">
      <c r="A347" s="25">
        <v>45602</v>
      </c>
      <c r="B347" s="13">
        <v>24484.05</v>
      </c>
      <c r="C347" s="13">
        <v>24308.75</v>
      </c>
      <c r="D347" s="13">
        <v>24537.599999999999</v>
      </c>
      <c r="E347" s="13">
        <v>24204.05</v>
      </c>
      <c r="F347" t="s">
        <v>960</v>
      </c>
      <c r="G347" s="4">
        <v>1.12E-2</v>
      </c>
    </row>
    <row r="348" spans="1:7" x14ac:dyDescent="0.3">
      <c r="A348" s="25">
        <v>45601</v>
      </c>
      <c r="B348" s="13">
        <v>24213.3</v>
      </c>
      <c r="C348" s="13">
        <v>23916.5</v>
      </c>
      <c r="D348" s="13">
        <v>24229.05</v>
      </c>
      <c r="E348" s="13">
        <v>23842.75</v>
      </c>
      <c r="F348" t="s">
        <v>959</v>
      </c>
      <c r="G348" s="4">
        <v>9.1000000000000004E-3</v>
      </c>
    </row>
    <row r="349" spans="1:7" x14ac:dyDescent="0.3">
      <c r="A349" s="25">
        <v>45600</v>
      </c>
      <c r="B349" s="13">
        <v>23995.35</v>
      </c>
      <c r="C349" s="13">
        <v>24315.75</v>
      </c>
      <c r="D349" s="13">
        <v>24316.75</v>
      </c>
      <c r="E349" s="13">
        <v>23816.15</v>
      </c>
      <c r="F349" t="s">
        <v>958</v>
      </c>
      <c r="G349" s="4">
        <v>-1.2699999999999999E-2</v>
      </c>
    </row>
    <row r="350" spans="1:7" x14ac:dyDescent="0.3">
      <c r="A350" s="25">
        <v>45597</v>
      </c>
      <c r="B350" s="13">
        <v>24304.35</v>
      </c>
      <c r="C350" s="13">
        <v>24302.75</v>
      </c>
      <c r="D350" s="13">
        <v>24368.25</v>
      </c>
      <c r="E350" s="13">
        <v>24280.2</v>
      </c>
      <c r="F350" t="s">
        <v>957</v>
      </c>
      <c r="G350" s="4">
        <v>4.1000000000000003E-3</v>
      </c>
    </row>
    <row r="351" spans="1:7" x14ac:dyDescent="0.3">
      <c r="A351" s="25">
        <v>45596</v>
      </c>
      <c r="B351" s="13">
        <v>24205.35</v>
      </c>
      <c r="C351" s="13">
        <v>24349.85</v>
      </c>
      <c r="D351" s="13">
        <v>24372.45</v>
      </c>
      <c r="E351" s="13">
        <v>24172.6</v>
      </c>
      <c r="F351" t="s">
        <v>956</v>
      </c>
      <c r="G351" s="4">
        <v>-5.5999999999999999E-3</v>
      </c>
    </row>
    <row r="352" spans="1:7" x14ac:dyDescent="0.3">
      <c r="A352" s="25">
        <v>45595</v>
      </c>
      <c r="B352" s="13">
        <v>24340.85</v>
      </c>
      <c r="C352" s="13">
        <v>24371.45</v>
      </c>
      <c r="D352" s="13">
        <v>24498.2</v>
      </c>
      <c r="E352" s="13">
        <v>24307.3</v>
      </c>
      <c r="F352" t="s">
        <v>347</v>
      </c>
      <c r="G352" s="4">
        <v>-5.1000000000000004E-3</v>
      </c>
    </row>
    <row r="353" spans="1:7" x14ac:dyDescent="0.3">
      <c r="A353" s="25">
        <v>45594</v>
      </c>
      <c r="B353" s="13">
        <v>24466.85</v>
      </c>
      <c r="C353" s="13">
        <v>24328.85</v>
      </c>
      <c r="D353" s="13">
        <v>24484.5</v>
      </c>
      <c r="E353" s="13">
        <v>24140.85</v>
      </c>
      <c r="F353" t="s">
        <v>955</v>
      </c>
      <c r="G353" s="4">
        <v>5.1999999999999998E-3</v>
      </c>
    </row>
    <row r="354" spans="1:7" x14ac:dyDescent="0.3">
      <c r="A354" s="25">
        <v>45593</v>
      </c>
      <c r="B354" s="13">
        <v>24339.15</v>
      </c>
      <c r="C354" s="13">
        <v>24251.1</v>
      </c>
      <c r="D354" s="13">
        <v>24492.6</v>
      </c>
      <c r="E354" s="13">
        <v>24134.9</v>
      </c>
      <c r="F354" t="s">
        <v>954</v>
      </c>
      <c r="G354" s="4">
        <v>6.4999999999999997E-3</v>
      </c>
    </row>
    <row r="355" spans="1:7" x14ac:dyDescent="0.3">
      <c r="A355" s="25">
        <v>45590</v>
      </c>
      <c r="B355" s="13">
        <v>24180.799999999999</v>
      </c>
      <c r="C355" s="13">
        <v>24418.05</v>
      </c>
      <c r="D355" s="13">
        <v>24440.25</v>
      </c>
      <c r="E355" s="13">
        <v>24073.9</v>
      </c>
      <c r="F355" t="s">
        <v>953</v>
      </c>
      <c r="G355" s="4">
        <v>-8.9999999999999993E-3</v>
      </c>
    </row>
    <row r="356" spans="1:7" x14ac:dyDescent="0.3">
      <c r="A356" s="25">
        <v>45589</v>
      </c>
      <c r="B356" s="13">
        <v>24399.4</v>
      </c>
      <c r="C356" s="13">
        <v>24412.7</v>
      </c>
      <c r="D356" s="13">
        <v>24480.65</v>
      </c>
      <c r="E356" s="13">
        <v>24341.200000000001</v>
      </c>
      <c r="F356" t="s">
        <v>952</v>
      </c>
      <c r="G356" s="4">
        <v>-1.5E-3</v>
      </c>
    </row>
    <row r="357" spans="1:7" x14ac:dyDescent="0.3">
      <c r="A357" s="25">
        <v>45588</v>
      </c>
      <c r="B357" s="13">
        <v>24435.5</v>
      </c>
      <c r="C357" s="13">
        <v>24378.15</v>
      </c>
      <c r="D357" s="13">
        <v>24604.25</v>
      </c>
      <c r="E357" s="13">
        <v>24378.1</v>
      </c>
      <c r="F357" t="s">
        <v>951</v>
      </c>
      <c r="G357" s="4">
        <v>-1.5E-3</v>
      </c>
    </row>
    <row r="358" spans="1:7" x14ac:dyDescent="0.3">
      <c r="A358" s="25">
        <v>45587</v>
      </c>
      <c r="B358" s="13">
        <v>24472.1</v>
      </c>
      <c r="C358" s="13">
        <v>24798.65</v>
      </c>
      <c r="D358" s="13">
        <v>24882</v>
      </c>
      <c r="E358" s="13">
        <v>24445.8</v>
      </c>
      <c r="F358" t="s">
        <v>950</v>
      </c>
      <c r="G358" s="4">
        <v>-1.2500000000000001E-2</v>
      </c>
    </row>
    <row r="359" spans="1:7" x14ac:dyDescent="0.3">
      <c r="A359" s="25">
        <v>45586</v>
      </c>
      <c r="B359" s="13">
        <v>24781.1</v>
      </c>
      <c r="C359" s="13">
        <v>24956.15</v>
      </c>
      <c r="D359" s="13">
        <v>24978.3</v>
      </c>
      <c r="E359" s="13">
        <v>24679.599999999999</v>
      </c>
      <c r="F359" t="s">
        <v>949</v>
      </c>
      <c r="G359" s="4">
        <v>-2.8999999999999998E-3</v>
      </c>
    </row>
    <row r="360" spans="1:7" x14ac:dyDescent="0.3">
      <c r="A360" s="25">
        <v>45583</v>
      </c>
      <c r="B360" s="13">
        <v>24854.05</v>
      </c>
      <c r="C360" s="13">
        <v>24664.95</v>
      </c>
      <c r="D360" s="13">
        <v>24886.2</v>
      </c>
      <c r="E360" s="13">
        <v>24567.65</v>
      </c>
      <c r="F360" t="s">
        <v>948</v>
      </c>
      <c r="G360" s="4">
        <v>4.1999999999999997E-3</v>
      </c>
    </row>
    <row r="361" spans="1:7" x14ac:dyDescent="0.3">
      <c r="A361" s="25">
        <v>45582</v>
      </c>
      <c r="B361" s="13">
        <v>24749.85</v>
      </c>
      <c r="C361" s="13">
        <v>25027.4</v>
      </c>
      <c r="D361" s="13">
        <v>25029.5</v>
      </c>
      <c r="E361" s="13">
        <v>24728.9</v>
      </c>
      <c r="F361" t="s">
        <v>947</v>
      </c>
      <c r="G361" s="4">
        <v>-8.8999999999999999E-3</v>
      </c>
    </row>
    <row r="362" spans="1:7" x14ac:dyDescent="0.3">
      <c r="A362" s="25">
        <v>45581</v>
      </c>
      <c r="B362" s="13">
        <v>24971.3</v>
      </c>
      <c r="C362" s="13">
        <v>25008.55</v>
      </c>
      <c r="D362" s="13">
        <v>25093.4</v>
      </c>
      <c r="E362" s="13">
        <v>24908.45</v>
      </c>
      <c r="F362" t="s">
        <v>946</v>
      </c>
      <c r="G362" s="4">
        <v>-3.3999999999999998E-3</v>
      </c>
    </row>
    <row r="363" spans="1:7" x14ac:dyDescent="0.3">
      <c r="A363" s="25">
        <v>45580</v>
      </c>
      <c r="B363" s="13">
        <v>25057.35</v>
      </c>
      <c r="C363" s="13">
        <v>25186.3</v>
      </c>
      <c r="D363" s="13">
        <v>25212.05</v>
      </c>
      <c r="E363" s="13">
        <v>25008.15</v>
      </c>
      <c r="F363" t="s">
        <v>535</v>
      </c>
      <c r="G363" s="4">
        <v>-2.8E-3</v>
      </c>
    </row>
    <row r="364" spans="1:7" x14ac:dyDescent="0.3">
      <c r="A364" s="25">
        <v>45579</v>
      </c>
      <c r="B364" s="13">
        <v>25127.95</v>
      </c>
      <c r="C364" s="13">
        <v>25023.45</v>
      </c>
      <c r="D364" s="13">
        <v>25159.75</v>
      </c>
      <c r="E364" s="13">
        <v>25017.5</v>
      </c>
      <c r="F364" t="s">
        <v>945</v>
      </c>
      <c r="G364" s="4">
        <v>6.6E-3</v>
      </c>
    </row>
    <row r="365" spans="1:7" x14ac:dyDescent="0.3">
      <c r="A365" s="25">
        <v>45576</v>
      </c>
      <c r="B365" s="13">
        <v>24964.25</v>
      </c>
      <c r="C365" s="13">
        <v>24985.3</v>
      </c>
      <c r="D365" s="13">
        <v>25028.65</v>
      </c>
      <c r="E365" s="13">
        <v>24920.05</v>
      </c>
      <c r="F365" t="s">
        <v>944</v>
      </c>
      <c r="G365" s="4">
        <v>-1.4E-3</v>
      </c>
    </row>
    <row r="366" spans="1:7" x14ac:dyDescent="0.3">
      <c r="A366" s="25">
        <v>45575</v>
      </c>
      <c r="B366" s="13">
        <v>24998.45</v>
      </c>
      <c r="C366" s="13">
        <v>25067.05</v>
      </c>
      <c r="D366" s="13">
        <v>25134.05</v>
      </c>
      <c r="E366" s="13">
        <v>24979.4</v>
      </c>
      <c r="F366" t="s">
        <v>943</v>
      </c>
      <c r="G366" s="4">
        <v>6.9999999999999999E-4</v>
      </c>
    </row>
    <row r="367" spans="1:7" x14ac:dyDescent="0.3">
      <c r="A367" s="25">
        <v>45574</v>
      </c>
      <c r="B367" s="13">
        <v>24981.95</v>
      </c>
      <c r="C367" s="13">
        <v>25065.8</v>
      </c>
      <c r="D367" s="13">
        <v>25234.05</v>
      </c>
      <c r="E367" s="13">
        <v>24947.7</v>
      </c>
      <c r="F367" t="s">
        <v>942</v>
      </c>
      <c r="G367" s="4">
        <v>-1.1999999999999999E-3</v>
      </c>
    </row>
    <row r="368" spans="1:7" x14ac:dyDescent="0.3">
      <c r="A368" s="25">
        <v>45573</v>
      </c>
      <c r="B368" s="13">
        <v>25013.15</v>
      </c>
      <c r="C368" s="13">
        <v>24832.2</v>
      </c>
      <c r="D368" s="13">
        <v>25044</v>
      </c>
      <c r="E368" s="13">
        <v>24756.799999999999</v>
      </c>
      <c r="F368" t="s">
        <v>941</v>
      </c>
      <c r="G368" s="4">
        <v>8.8000000000000005E-3</v>
      </c>
    </row>
    <row r="369" spans="1:7" x14ac:dyDescent="0.3">
      <c r="A369" s="25">
        <v>45572</v>
      </c>
      <c r="B369" s="13">
        <v>24795.75</v>
      </c>
      <c r="C369" s="13">
        <v>25084.1</v>
      </c>
      <c r="D369" s="13">
        <v>25143</v>
      </c>
      <c r="E369" s="13">
        <v>24694.35</v>
      </c>
      <c r="F369" t="s">
        <v>940</v>
      </c>
      <c r="G369" s="4">
        <v>-8.6999999999999994E-3</v>
      </c>
    </row>
    <row r="370" spans="1:7" x14ac:dyDescent="0.3">
      <c r="A370" s="25">
        <v>45569</v>
      </c>
      <c r="B370" s="13">
        <v>25014.6</v>
      </c>
      <c r="C370" s="13">
        <v>25181.9</v>
      </c>
      <c r="D370" s="13">
        <v>25485.05</v>
      </c>
      <c r="E370" s="13">
        <v>24966.799999999999</v>
      </c>
      <c r="F370" t="s">
        <v>939</v>
      </c>
      <c r="G370" s="4">
        <v>-9.2999999999999992E-3</v>
      </c>
    </row>
    <row r="371" spans="1:7" x14ac:dyDescent="0.3">
      <c r="A371" s="25">
        <v>45568</v>
      </c>
      <c r="B371" s="13">
        <v>25250.1</v>
      </c>
      <c r="C371" s="13">
        <v>25452.85</v>
      </c>
      <c r="D371" s="13">
        <v>25639.45</v>
      </c>
      <c r="E371" s="13">
        <v>25230.3</v>
      </c>
      <c r="F371" t="s">
        <v>938</v>
      </c>
      <c r="G371" s="4">
        <v>-2.12E-2</v>
      </c>
    </row>
    <row r="372" spans="1:7" x14ac:dyDescent="0.3">
      <c r="A372" s="25">
        <v>45566</v>
      </c>
      <c r="B372" s="13">
        <v>25796.9</v>
      </c>
      <c r="C372" s="13">
        <v>25788.45</v>
      </c>
      <c r="D372" s="13">
        <v>25907.599999999999</v>
      </c>
      <c r="E372" s="13">
        <v>25739.200000000001</v>
      </c>
      <c r="F372" t="s">
        <v>937</v>
      </c>
      <c r="G372" s="4">
        <v>-5.0000000000000001E-4</v>
      </c>
    </row>
    <row r="373" spans="1:7" x14ac:dyDescent="0.3">
      <c r="A373" s="25">
        <v>45565</v>
      </c>
      <c r="B373" s="13">
        <v>25810.85</v>
      </c>
      <c r="C373" s="13">
        <v>26061.3</v>
      </c>
      <c r="D373" s="13">
        <v>26134.7</v>
      </c>
      <c r="E373" s="13">
        <v>25794.1</v>
      </c>
      <c r="F373" t="s">
        <v>770</v>
      </c>
      <c r="G373" s="4">
        <v>-1.41E-2</v>
      </c>
    </row>
    <row r="374" spans="1:7" x14ac:dyDescent="0.3">
      <c r="A374" s="25">
        <v>45562</v>
      </c>
      <c r="B374" s="13">
        <v>26178.95</v>
      </c>
      <c r="C374" s="13">
        <v>26248.25</v>
      </c>
      <c r="D374" s="13">
        <v>26277.35</v>
      </c>
      <c r="E374" s="13">
        <v>26151.4</v>
      </c>
      <c r="F374" t="s">
        <v>936</v>
      </c>
      <c r="G374" s="4">
        <v>-1.4E-3</v>
      </c>
    </row>
    <row r="375" spans="1:7" x14ac:dyDescent="0.3">
      <c r="A375" s="25">
        <v>45561</v>
      </c>
      <c r="B375" s="13">
        <v>26216.05</v>
      </c>
      <c r="C375" s="13">
        <v>26005.4</v>
      </c>
      <c r="D375" s="13">
        <v>26250.9</v>
      </c>
      <c r="E375" s="13">
        <v>25998.400000000001</v>
      </c>
      <c r="F375" t="s">
        <v>935</v>
      </c>
      <c r="G375" s="4">
        <v>8.0999999999999996E-3</v>
      </c>
    </row>
    <row r="376" spans="1:7" x14ac:dyDescent="0.3">
      <c r="A376" s="25">
        <v>45560</v>
      </c>
      <c r="B376" s="13">
        <v>26004.15</v>
      </c>
      <c r="C376" s="13">
        <v>25899.45</v>
      </c>
      <c r="D376" s="13">
        <v>26032.799999999999</v>
      </c>
      <c r="E376" s="13">
        <v>25871.35</v>
      </c>
      <c r="F376" t="s">
        <v>934</v>
      </c>
      <c r="G376" s="4">
        <v>2.5000000000000001E-3</v>
      </c>
    </row>
    <row r="377" spans="1:7" x14ac:dyDescent="0.3">
      <c r="A377" s="25">
        <v>45559</v>
      </c>
      <c r="B377" s="13">
        <v>25940.400000000001</v>
      </c>
      <c r="C377" s="13">
        <v>25921.45</v>
      </c>
      <c r="D377" s="13">
        <v>26011.55</v>
      </c>
      <c r="E377" s="13">
        <v>25886.85</v>
      </c>
      <c r="F377" t="s">
        <v>933</v>
      </c>
      <c r="G377" s="4">
        <v>1E-4</v>
      </c>
    </row>
    <row r="378" spans="1:7" x14ac:dyDescent="0.3">
      <c r="A378" s="25">
        <v>45558</v>
      </c>
      <c r="B378" s="13">
        <v>25939.05</v>
      </c>
      <c r="C378" s="13">
        <v>25872.55</v>
      </c>
      <c r="D378" s="13">
        <v>25956</v>
      </c>
      <c r="E378" s="13">
        <v>25847.35</v>
      </c>
      <c r="F378" t="s">
        <v>932</v>
      </c>
      <c r="G378" s="4">
        <v>5.7000000000000002E-3</v>
      </c>
    </row>
    <row r="379" spans="1:7" x14ac:dyDescent="0.3">
      <c r="A379" s="25">
        <v>45555</v>
      </c>
      <c r="B379" s="13">
        <v>25790.95</v>
      </c>
      <c r="C379" s="13">
        <v>25525.95</v>
      </c>
      <c r="D379" s="13">
        <v>25849.25</v>
      </c>
      <c r="E379" s="13">
        <v>25426.6</v>
      </c>
      <c r="F379" t="s">
        <v>931</v>
      </c>
      <c r="G379" s="4">
        <v>1.4800000000000001E-2</v>
      </c>
    </row>
    <row r="380" spans="1:7" x14ac:dyDescent="0.3">
      <c r="A380" s="25">
        <v>45554</v>
      </c>
      <c r="B380" s="13">
        <v>25415.8</v>
      </c>
      <c r="C380" s="13">
        <v>25487.05</v>
      </c>
      <c r="D380" s="13">
        <v>25611.95</v>
      </c>
      <c r="E380" s="13">
        <v>25376.05</v>
      </c>
      <c r="F380" t="s">
        <v>930</v>
      </c>
      <c r="G380" s="4">
        <v>1.5E-3</v>
      </c>
    </row>
    <row r="381" spans="1:7" x14ac:dyDescent="0.3">
      <c r="A381" s="25">
        <v>45553</v>
      </c>
      <c r="B381" s="13">
        <v>25377.55</v>
      </c>
      <c r="C381" s="13">
        <v>25402.400000000001</v>
      </c>
      <c r="D381" s="13">
        <v>25482.2</v>
      </c>
      <c r="E381" s="13">
        <v>25285.55</v>
      </c>
      <c r="F381" t="s">
        <v>929</v>
      </c>
      <c r="G381" s="4">
        <v>-1.6000000000000001E-3</v>
      </c>
    </row>
    <row r="382" spans="1:7" x14ac:dyDescent="0.3">
      <c r="A382" s="25">
        <v>45552</v>
      </c>
      <c r="B382" s="13">
        <v>25418.55</v>
      </c>
      <c r="C382" s="13">
        <v>25416.9</v>
      </c>
      <c r="D382" s="13">
        <v>25441.65</v>
      </c>
      <c r="E382" s="13">
        <v>25352.25</v>
      </c>
      <c r="F382" t="s">
        <v>928</v>
      </c>
      <c r="G382" s="4">
        <v>1.4E-3</v>
      </c>
    </row>
    <row r="383" spans="1:7" x14ac:dyDescent="0.3">
      <c r="A383" s="25">
        <v>45551</v>
      </c>
      <c r="B383" s="13">
        <v>25383.75</v>
      </c>
      <c r="C383" s="13">
        <v>25406.65</v>
      </c>
      <c r="D383" s="13">
        <v>25445.7</v>
      </c>
      <c r="E383" s="13">
        <v>25336.2</v>
      </c>
      <c r="F383" t="s">
        <v>927</v>
      </c>
      <c r="G383" s="4">
        <v>1.1000000000000001E-3</v>
      </c>
    </row>
    <row r="384" spans="1:7" x14ac:dyDescent="0.3">
      <c r="A384" s="25">
        <v>45548</v>
      </c>
      <c r="B384" s="13">
        <v>25356.5</v>
      </c>
      <c r="C384" s="13">
        <v>25430.45</v>
      </c>
      <c r="D384" s="13">
        <v>25430.5</v>
      </c>
      <c r="E384" s="13">
        <v>25292.45</v>
      </c>
      <c r="F384" t="s">
        <v>926</v>
      </c>
      <c r="G384" s="4">
        <v>-1.2999999999999999E-3</v>
      </c>
    </row>
    <row r="385" spans="1:7" x14ac:dyDescent="0.3">
      <c r="A385" s="25">
        <v>45547</v>
      </c>
      <c r="B385" s="13">
        <v>25388.9</v>
      </c>
      <c r="C385" s="13">
        <v>25059.65</v>
      </c>
      <c r="D385" s="13">
        <v>25433.35</v>
      </c>
      <c r="E385" s="13">
        <v>24941.45</v>
      </c>
      <c r="F385" t="s">
        <v>925</v>
      </c>
      <c r="G385" s="4">
        <v>1.89E-2</v>
      </c>
    </row>
    <row r="386" spans="1:7" x14ac:dyDescent="0.3">
      <c r="A386" s="25">
        <v>45546</v>
      </c>
      <c r="B386" s="13">
        <v>24918.45</v>
      </c>
      <c r="C386" s="13">
        <v>25034</v>
      </c>
      <c r="D386" s="13">
        <v>25113.7</v>
      </c>
      <c r="E386" s="13">
        <v>24885.15</v>
      </c>
      <c r="F386" t="s">
        <v>924</v>
      </c>
      <c r="G386" s="4">
        <v>-4.8999999999999998E-3</v>
      </c>
    </row>
    <row r="387" spans="1:7" x14ac:dyDescent="0.3">
      <c r="A387" s="25">
        <v>45545</v>
      </c>
      <c r="B387" s="13">
        <v>25041.1</v>
      </c>
      <c r="C387" s="13">
        <v>24999.4</v>
      </c>
      <c r="D387" s="13">
        <v>25130.5</v>
      </c>
      <c r="E387" s="13">
        <v>24896.799999999999</v>
      </c>
      <c r="F387" t="s">
        <v>923</v>
      </c>
      <c r="G387" s="4">
        <v>4.1999999999999997E-3</v>
      </c>
    </row>
    <row r="388" spans="1:7" x14ac:dyDescent="0.3">
      <c r="A388" s="25">
        <v>45544</v>
      </c>
      <c r="B388" s="13">
        <v>24936.400000000001</v>
      </c>
      <c r="C388" s="13">
        <v>24823.4</v>
      </c>
      <c r="D388" s="13">
        <v>24957.5</v>
      </c>
      <c r="E388" s="13">
        <v>24753.15</v>
      </c>
      <c r="F388" t="s">
        <v>922</v>
      </c>
      <c r="G388" s="4">
        <v>3.3999999999999998E-3</v>
      </c>
    </row>
    <row r="389" spans="1:7" x14ac:dyDescent="0.3">
      <c r="A389" s="25">
        <v>45541</v>
      </c>
      <c r="B389" s="13">
        <v>24852.15</v>
      </c>
      <c r="C389" s="13">
        <v>25093.7</v>
      </c>
      <c r="D389" s="13">
        <v>25168.75</v>
      </c>
      <c r="E389" s="13">
        <v>24801.3</v>
      </c>
      <c r="F389" t="s">
        <v>921</v>
      </c>
      <c r="G389" s="4">
        <v>-1.17E-2</v>
      </c>
    </row>
    <row r="390" spans="1:7" x14ac:dyDescent="0.3">
      <c r="A390" s="25">
        <v>45540</v>
      </c>
      <c r="B390" s="13">
        <v>25145.1</v>
      </c>
      <c r="C390" s="13">
        <v>25250.5</v>
      </c>
      <c r="D390" s="13">
        <v>25275.45</v>
      </c>
      <c r="E390" s="13">
        <v>25127.75</v>
      </c>
      <c r="F390" t="s">
        <v>920</v>
      </c>
      <c r="G390" s="4">
        <v>-2.0999999999999999E-3</v>
      </c>
    </row>
    <row r="391" spans="1:7" x14ac:dyDescent="0.3">
      <c r="A391" s="25">
        <v>45539</v>
      </c>
      <c r="B391" s="13">
        <v>25198.7</v>
      </c>
      <c r="C391" s="13">
        <v>25089.95</v>
      </c>
      <c r="D391" s="13">
        <v>25216</v>
      </c>
      <c r="E391" s="13">
        <v>25083.8</v>
      </c>
      <c r="F391" t="s">
        <v>919</v>
      </c>
      <c r="G391" s="4">
        <v>-3.2000000000000002E-3</v>
      </c>
    </row>
    <row r="392" spans="1:7" x14ac:dyDescent="0.3">
      <c r="A392" s="25">
        <v>45538</v>
      </c>
      <c r="B392" s="13">
        <v>25279.85</v>
      </c>
      <c r="C392" s="13">
        <v>25313.4</v>
      </c>
      <c r="D392" s="13">
        <v>25321.7</v>
      </c>
      <c r="E392" s="13">
        <v>25235.8</v>
      </c>
      <c r="F392" t="s">
        <v>918</v>
      </c>
      <c r="G392" s="4">
        <v>0</v>
      </c>
    </row>
    <row r="393" spans="1:7" x14ac:dyDescent="0.3">
      <c r="A393" s="25">
        <v>45537</v>
      </c>
      <c r="B393" s="13">
        <v>25278.7</v>
      </c>
      <c r="C393" s="13">
        <v>25333.599999999999</v>
      </c>
      <c r="D393" s="13">
        <v>25333.65</v>
      </c>
      <c r="E393" s="13">
        <v>25235.5</v>
      </c>
      <c r="F393" t="s">
        <v>917</v>
      </c>
      <c r="G393" s="4">
        <v>1.6999999999999999E-3</v>
      </c>
    </row>
    <row r="394" spans="1:7" x14ac:dyDescent="0.3">
      <c r="A394" s="25">
        <v>45534</v>
      </c>
      <c r="B394" s="13">
        <v>25235.9</v>
      </c>
      <c r="C394" s="13">
        <v>25249.7</v>
      </c>
      <c r="D394" s="13">
        <v>25268.35</v>
      </c>
      <c r="E394" s="13">
        <v>25199.4</v>
      </c>
      <c r="F394" t="s">
        <v>916</v>
      </c>
      <c r="G394" s="4">
        <v>3.3E-3</v>
      </c>
    </row>
    <row r="395" spans="1:7" x14ac:dyDescent="0.3">
      <c r="A395" s="25">
        <v>45533</v>
      </c>
      <c r="B395" s="13">
        <v>25151.95</v>
      </c>
      <c r="C395" s="13">
        <v>25035.3</v>
      </c>
      <c r="D395" s="13">
        <v>25192.9</v>
      </c>
      <c r="E395" s="13">
        <v>24998.5</v>
      </c>
      <c r="F395" t="s">
        <v>915</v>
      </c>
      <c r="G395" s="4">
        <v>4.0000000000000001E-3</v>
      </c>
    </row>
    <row r="396" spans="1:7" x14ac:dyDescent="0.3">
      <c r="A396" s="25">
        <v>45532</v>
      </c>
      <c r="B396" s="13">
        <v>25052.35</v>
      </c>
      <c r="C396" s="13">
        <v>25030.799999999999</v>
      </c>
      <c r="D396" s="13">
        <v>25129.599999999999</v>
      </c>
      <c r="E396" s="13">
        <v>24964.65</v>
      </c>
      <c r="F396" t="s">
        <v>914</v>
      </c>
      <c r="G396" s="4">
        <v>1.4E-3</v>
      </c>
    </row>
    <row r="397" spans="1:7" x14ac:dyDescent="0.3">
      <c r="A397" s="25">
        <v>45531</v>
      </c>
      <c r="B397" s="13">
        <v>25017.75</v>
      </c>
      <c r="C397" s="13">
        <v>25024.799999999999</v>
      </c>
      <c r="D397" s="13">
        <v>25073.1</v>
      </c>
      <c r="E397" s="13">
        <v>24973.65</v>
      </c>
      <c r="F397" t="s">
        <v>913</v>
      </c>
      <c r="G397" s="4">
        <v>2.9999999999999997E-4</v>
      </c>
    </row>
    <row r="398" spans="1:7" x14ac:dyDescent="0.3">
      <c r="A398" s="25">
        <v>45530</v>
      </c>
      <c r="B398" s="13">
        <v>25010.6</v>
      </c>
      <c r="C398" s="13">
        <v>24906.1</v>
      </c>
      <c r="D398" s="13">
        <v>25043.8</v>
      </c>
      <c r="E398" s="13">
        <v>24874.7</v>
      </c>
      <c r="F398" t="s">
        <v>912</v>
      </c>
      <c r="G398" s="4">
        <v>7.6E-3</v>
      </c>
    </row>
    <row r="399" spans="1:7" x14ac:dyDescent="0.3">
      <c r="A399" s="25">
        <v>45527</v>
      </c>
      <c r="B399" s="13">
        <v>24823.15</v>
      </c>
      <c r="C399" s="13">
        <v>24845.4</v>
      </c>
      <c r="D399" s="13">
        <v>24858.400000000001</v>
      </c>
      <c r="E399" s="13">
        <v>24771.65</v>
      </c>
      <c r="F399" t="s">
        <v>911</v>
      </c>
      <c r="G399" s="4">
        <v>5.0000000000000001E-4</v>
      </c>
    </row>
    <row r="400" spans="1:7" x14ac:dyDescent="0.3">
      <c r="A400" s="25">
        <v>45526</v>
      </c>
      <c r="B400" s="13">
        <v>24811.5</v>
      </c>
      <c r="C400" s="13">
        <v>24863.4</v>
      </c>
      <c r="D400" s="13">
        <v>24867.35</v>
      </c>
      <c r="E400" s="13">
        <v>24784.45</v>
      </c>
      <c r="F400" t="s">
        <v>910</v>
      </c>
      <c r="G400" s="4">
        <v>1.6999999999999999E-3</v>
      </c>
    </row>
    <row r="401" spans="1:7" x14ac:dyDescent="0.3">
      <c r="A401" s="25">
        <v>45525</v>
      </c>
      <c r="B401" s="13">
        <v>24770.2</v>
      </c>
      <c r="C401" s="13">
        <v>24680.55</v>
      </c>
      <c r="D401" s="13">
        <v>24787.95</v>
      </c>
      <c r="E401" s="13">
        <v>24654.5</v>
      </c>
      <c r="F401" t="s">
        <v>909</v>
      </c>
      <c r="G401" s="4">
        <v>2.8999999999999998E-3</v>
      </c>
    </row>
    <row r="402" spans="1:7" x14ac:dyDescent="0.3">
      <c r="A402" s="25">
        <v>45524</v>
      </c>
      <c r="B402" s="13">
        <v>24698.85</v>
      </c>
      <c r="C402" s="13">
        <v>24648.9</v>
      </c>
      <c r="D402" s="13">
        <v>24734.3</v>
      </c>
      <c r="E402" s="13">
        <v>24607.200000000001</v>
      </c>
      <c r="F402" t="s">
        <v>908</v>
      </c>
      <c r="G402" s="4">
        <v>5.1000000000000004E-3</v>
      </c>
    </row>
    <row r="403" spans="1:7" x14ac:dyDescent="0.3">
      <c r="A403" s="25">
        <v>45523</v>
      </c>
      <c r="B403" s="13">
        <v>24572.65</v>
      </c>
      <c r="C403" s="13">
        <v>24636.35</v>
      </c>
      <c r="D403" s="13">
        <v>24638.799999999999</v>
      </c>
      <c r="E403" s="13">
        <v>24522.95</v>
      </c>
      <c r="F403" t="s">
        <v>907</v>
      </c>
      <c r="G403" s="4">
        <v>1.2999999999999999E-3</v>
      </c>
    </row>
    <row r="404" spans="1:7" x14ac:dyDescent="0.3">
      <c r="A404" s="25">
        <v>45520</v>
      </c>
      <c r="B404" s="13">
        <v>24541.15</v>
      </c>
      <c r="C404" s="13">
        <v>24334.85</v>
      </c>
      <c r="D404" s="13">
        <v>24563.9</v>
      </c>
      <c r="E404" s="13">
        <v>24204.5</v>
      </c>
      <c r="F404" t="s">
        <v>906</v>
      </c>
      <c r="G404" s="4">
        <v>1.6500000000000001E-2</v>
      </c>
    </row>
    <row r="405" spans="1:7" x14ac:dyDescent="0.3">
      <c r="A405" s="25">
        <v>45518</v>
      </c>
      <c r="B405" s="13">
        <v>24143.75</v>
      </c>
      <c r="C405" s="13">
        <v>24184.400000000001</v>
      </c>
      <c r="D405" s="13">
        <v>24196.5</v>
      </c>
      <c r="E405" s="13">
        <v>24099.7</v>
      </c>
      <c r="F405" t="s">
        <v>905</v>
      </c>
      <c r="G405" s="4">
        <v>2.0000000000000001E-4</v>
      </c>
    </row>
    <row r="406" spans="1:7" x14ac:dyDescent="0.3">
      <c r="A406" s="25">
        <v>45517</v>
      </c>
      <c r="B406" s="13">
        <v>24139</v>
      </c>
      <c r="C406" s="13">
        <v>24342.35</v>
      </c>
      <c r="D406" s="13">
        <v>24359.95</v>
      </c>
      <c r="E406" s="13">
        <v>24116.5</v>
      </c>
      <c r="F406" t="s">
        <v>904</v>
      </c>
      <c r="G406" s="4">
        <v>-8.5000000000000006E-3</v>
      </c>
    </row>
    <row r="407" spans="1:7" x14ac:dyDescent="0.3">
      <c r="A407" s="25">
        <v>45516</v>
      </c>
      <c r="B407" s="13">
        <v>24347</v>
      </c>
      <c r="C407" s="13">
        <v>24320.05</v>
      </c>
      <c r="D407" s="13">
        <v>24472.799999999999</v>
      </c>
      <c r="E407" s="13">
        <v>24212.1</v>
      </c>
      <c r="F407" t="s">
        <v>903</v>
      </c>
      <c r="G407" s="4">
        <v>-8.0000000000000004E-4</v>
      </c>
    </row>
    <row r="408" spans="1:7" x14ac:dyDescent="0.3">
      <c r="A408" s="25">
        <v>45513</v>
      </c>
      <c r="B408" s="13">
        <v>24367.5</v>
      </c>
      <c r="C408" s="13">
        <v>24386.85</v>
      </c>
      <c r="D408" s="13">
        <v>24419.75</v>
      </c>
      <c r="E408" s="13">
        <v>24311.200000000001</v>
      </c>
      <c r="F408" t="s">
        <v>902</v>
      </c>
      <c r="G408" s="4">
        <v>1.04E-2</v>
      </c>
    </row>
    <row r="409" spans="1:7" x14ac:dyDescent="0.3">
      <c r="A409" s="25">
        <v>45512</v>
      </c>
      <c r="B409" s="13">
        <v>24117</v>
      </c>
      <c r="C409" s="13">
        <v>24248.55</v>
      </c>
      <c r="D409" s="13">
        <v>24340.5</v>
      </c>
      <c r="E409" s="13">
        <v>24079.7</v>
      </c>
      <c r="F409" t="s">
        <v>901</v>
      </c>
      <c r="G409" s="4">
        <v>-7.4000000000000003E-3</v>
      </c>
    </row>
    <row r="410" spans="1:7" x14ac:dyDescent="0.3">
      <c r="A410" s="25">
        <v>45511</v>
      </c>
      <c r="B410" s="13">
        <v>24297.5</v>
      </c>
      <c r="C410" s="13">
        <v>24289.4</v>
      </c>
      <c r="D410" s="13">
        <v>24337.7</v>
      </c>
      <c r="E410" s="13">
        <v>24184.9</v>
      </c>
      <c r="F410" t="s">
        <v>900</v>
      </c>
      <c r="G410" s="4">
        <v>1.2699999999999999E-2</v>
      </c>
    </row>
    <row r="411" spans="1:7" x14ac:dyDescent="0.3">
      <c r="A411" s="25">
        <v>45510</v>
      </c>
      <c r="B411" s="13">
        <v>23992.55</v>
      </c>
      <c r="C411" s="13">
        <v>24189.85</v>
      </c>
      <c r="D411" s="13">
        <v>24382.6</v>
      </c>
      <c r="E411" s="13">
        <v>23960.400000000001</v>
      </c>
      <c r="F411" t="s">
        <v>899</v>
      </c>
      <c r="G411" s="4">
        <v>-2.5999999999999999E-3</v>
      </c>
    </row>
    <row r="412" spans="1:7" x14ac:dyDescent="0.3">
      <c r="A412" s="25">
        <v>45509</v>
      </c>
      <c r="B412" s="13">
        <v>24055.599999999999</v>
      </c>
      <c r="C412" s="13">
        <v>24302.85</v>
      </c>
      <c r="D412" s="13">
        <v>24350.05</v>
      </c>
      <c r="E412" s="13">
        <v>23893.7</v>
      </c>
      <c r="F412" t="s">
        <v>898</v>
      </c>
      <c r="G412" s="4">
        <v>-2.6800000000000001E-2</v>
      </c>
    </row>
    <row r="413" spans="1:7" x14ac:dyDescent="0.3">
      <c r="A413" s="25">
        <v>45506</v>
      </c>
      <c r="B413" s="13">
        <v>24717.7</v>
      </c>
      <c r="C413" s="13">
        <v>24789</v>
      </c>
      <c r="D413" s="13">
        <v>24851.9</v>
      </c>
      <c r="E413" s="13">
        <v>24686.85</v>
      </c>
      <c r="F413" t="s">
        <v>897</v>
      </c>
      <c r="G413" s="4">
        <v>-1.17E-2</v>
      </c>
    </row>
    <row r="414" spans="1:7" x14ac:dyDescent="0.3">
      <c r="A414" s="25">
        <v>45505</v>
      </c>
      <c r="B414" s="13">
        <v>25010.9</v>
      </c>
      <c r="C414" s="13">
        <v>25030.95</v>
      </c>
      <c r="D414" s="13">
        <v>25078.3</v>
      </c>
      <c r="E414" s="13">
        <v>24956.400000000001</v>
      </c>
      <c r="F414" t="s">
        <v>896</v>
      </c>
      <c r="G414" s="4">
        <v>2.3999999999999998E-3</v>
      </c>
    </row>
    <row r="415" spans="1:7" x14ac:dyDescent="0.3">
      <c r="A415" s="25">
        <v>45504</v>
      </c>
      <c r="B415" s="13">
        <v>24951.15</v>
      </c>
      <c r="C415" s="13">
        <v>24886.7</v>
      </c>
      <c r="D415" s="13">
        <v>24984.6</v>
      </c>
      <c r="E415" s="13">
        <v>24856.5</v>
      </c>
      <c r="F415" t="s">
        <v>895</v>
      </c>
      <c r="G415" s="4">
        <v>3.8E-3</v>
      </c>
    </row>
    <row r="416" spans="1:7" x14ac:dyDescent="0.3">
      <c r="A416" s="25">
        <v>45503</v>
      </c>
      <c r="B416" s="13">
        <v>24857.3</v>
      </c>
      <c r="C416" s="13">
        <v>24839.4</v>
      </c>
      <c r="D416" s="13">
        <v>24971.75</v>
      </c>
      <c r="E416" s="13">
        <v>24798.65</v>
      </c>
      <c r="F416" t="s">
        <v>894</v>
      </c>
      <c r="G416" s="4">
        <v>8.9999999999999998E-4</v>
      </c>
    </row>
    <row r="417" spans="1:7" x14ac:dyDescent="0.3">
      <c r="A417" s="25">
        <v>45502</v>
      </c>
      <c r="B417" s="13">
        <v>24836.1</v>
      </c>
      <c r="C417" s="13">
        <v>24943.3</v>
      </c>
      <c r="D417" s="13">
        <v>24999.75</v>
      </c>
      <c r="E417" s="13">
        <v>24774.6</v>
      </c>
      <c r="F417" t="s">
        <v>893</v>
      </c>
      <c r="G417" s="4">
        <v>1E-4</v>
      </c>
    </row>
    <row r="418" spans="1:7" x14ac:dyDescent="0.3">
      <c r="A418" s="25">
        <v>45499</v>
      </c>
      <c r="B418" s="13">
        <v>24834.85</v>
      </c>
      <c r="C418" s="13">
        <v>24423.35</v>
      </c>
      <c r="D418" s="13">
        <v>24861.15</v>
      </c>
      <c r="E418" s="13">
        <v>24410.9</v>
      </c>
      <c r="F418" t="s">
        <v>892</v>
      </c>
      <c r="G418" s="4">
        <v>1.7600000000000001E-2</v>
      </c>
    </row>
    <row r="419" spans="1:7" x14ac:dyDescent="0.3">
      <c r="A419" s="25">
        <v>45498</v>
      </c>
      <c r="B419" s="13">
        <v>24406.1</v>
      </c>
      <c r="C419" s="13">
        <v>24230.95</v>
      </c>
      <c r="D419" s="13">
        <v>24426.15</v>
      </c>
      <c r="E419" s="13">
        <v>24210.799999999999</v>
      </c>
      <c r="F419" t="s">
        <v>891</v>
      </c>
      <c r="G419" s="4">
        <v>-2.9999999999999997E-4</v>
      </c>
    </row>
    <row r="420" spans="1:7" x14ac:dyDescent="0.3">
      <c r="A420" s="25">
        <v>45497</v>
      </c>
      <c r="B420" s="13">
        <v>24413.5</v>
      </c>
      <c r="C420" s="13">
        <v>24444.95</v>
      </c>
      <c r="D420" s="13">
        <v>24504.25</v>
      </c>
      <c r="E420" s="13">
        <v>24307.25</v>
      </c>
      <c r="F420" t="s">
        <v>890</v>
      </c>
      <c r="G420" s="4">
        <v>-2.7000000000000001E-3</v>
      </c>
    </row>
    <row r="421" spans="1:7" x14ac:dyDescent="0.3">
      <c r="A421" s="25">
        <v>45496</v>
      </c>
      <c r="B421" s="13">
        <v>24479.05</v>
      </c>
      <c r="C421" s="13">
        <v>24568.9</v>
      </c>
      <c r="D421" s="13">
        <v>24582.55</v>
      </c>
      <c r="E421" s="13">
        <v>24074.2</v>
      </c>
      <c r="F421" t="s">
        <v>889</v>
      </c>
      <c r="G421" s="4">
        <v>-1.1999999999999999E-3</v>
      </c>
    </row>
    <row r="422" spans="1:7" x14ac:dyDescent="0.3">
      <c r="A422" s="25">
        <v>45495</v>
      </c>
      <c r="B422" s="13">
        <v>24509.25</v>
      </c>
      <c r="C422" s="13">
        <v>24445.75</v>
      </c>
      <c r="D422" s="13">
        <v>24595.200000000001</v>
      </c>
      <c r="E422" s="13">
        <v>24362.3</v>
      </c>
      <c r="F422" t="s">
        <v>888</v>
      </c>
      <c r="G422" s="4">
        <v>-8.9999999999999998E-4</v>
      </c>
    </row>
    <row r="423" spans="1:7" x14ac:dyDescent="0.3">
      <c r="A423" s="25">
        <v>45492</v>
      </c>
      <c r="B423" s="13">
        <v>24530.9</v>
      </c>
      <c r="C423" s="13">
        <v>24853.8</v>
      </c>
      <c r="D423" s="13">
        <v>24854.799999999999</v>
      </c>
      <c r="E423" s="13">
        <v>24508.15</v>
      </c>
      <c r="F423" t="s">
        <v>887</v>
      </c>
      <c r="G423" s="4">
        <v>-1.09E-2</v>
      </c>
    </row>
    <row r="424" spans="1:7" x14ac:dyDescent="0.3">
      <c r="A424" s="25">
        <v>45491</v>
      </c>
      <c r="B424" s="13">
        <v>24800.85</v>
      </c>
      <c r="C424" s="13">
        <v>24543.8</v>
      </c>
      <c r="D424" s="13">
        <v>24837.75</v>
      </c>
      <c r="E424" s="13">
        <v>24504.45</v>
      </c>
      <c r="F424" t="s">
        <v>886</v>
      </c>
      <c r="G424" s="4">
        <v>7.6E-3</v>
      </c>
    </row>
    <row r="425" spans="1:7" x14ac:dyDescent="0.3">
      <c r="A425" s="25">
        <v>45489</v>
      </c>
      <c r="B425" s="13">
        <v>24613</v>
      </c>
      <c r="C425" s="13">
        <v>24615.9</v>
      </c>
      <c r="D425" s="13">
        <v>24661.25</v>
      </c>
      <c r="E425" s="13">
        <v>24587.65</v>
      </c>
      <c r="F425" t="s">
        <v>885</v>
      </c>
      <c r="G425" s="4">
        <v>1.1000000000000001E-3</v>
      </c>
    </row>
    <row r="426" spans="1:7" x14ac:dyDescent="0.3">
      <c r="A426" s="25">
        <v>45488</v>
      </c>
      <c r="B426" s="13">
        <v>24586.7</v>
      </c>
      <c r="C426" s="13">
        <v>24587.599999999999</v>
      </c>
      <c r="D426" s="13">
        <v>24635.05</v>
      </c>
      <c r="E426" s="13">
        <v>24522.75</v>
      </c>
      <c r="F426" t="s">
        <v>884</v>
      </c>
      <c r="G426" s="4">
        <v>3.5000000000000001E-3</v>
      </c>
    </row>
    <row r="427" spans="1:7" x14ac:dyDescent="0.3">
      <c r="A427" s="25">
        <v>45485</v>
      </c>
      <c r="B427" s="13">
        <v>24502.15</v>
      </c>
      <c r="C427" s="13">
        <v>24387.95</v>
      </c>
      <c r="D427" s="13">
        <v>24592.2</v>
      </c>
      <c r="E427" s="13">
        <v>24331.15</v>
      </c>
      <c r="F427" t="s">
        <v>883</v>
      </c>
      <c r="G427" s="4">
        <v>7.7000000000000002E-3</v>
      </c>
    </row>
    <row r="428" spans="1:7" x14ac:dyDescent="0.3">
      <c r="A428" s="25">
        <v>45484</v>
      </c>
      <c r="B428" s="13">
        <v>24315.95</v>
      </c>
      <c r="C428" s="13">
        <v>24396.55</v>
      </c>
      <c r="D428" s="13">
        <v>24402.65</v>
      </c>
      <c r="E428" s="13">
        <v>24193.75</v>
      </c>
      <c r="F428" t="s">
        <v>882</v>
      </c>
      <c r="G428" s="4">
        <v>-2.9999999999999997E-4</v>
      </c>
    </row>
    <row r="429" spans="1:7" x14ac:dyDescent="0.3">
      <c r="A429" s="25">
        <v>45483</v>
      </c>
      <c r="B429" s="13">
        <v>24324.45</v>
      </c>
      <c r="C429" s="13">
        <v>24459.85</v>
      </c>
      <c r="D429" s="13">
        <v>24461.05</v>
      </c>
      <c r="E429" s="13">
        <v>24141.8</v>
      </c>
      <c r="F429" t="s">
        <v>881</v>
      </c>
      <c r="G429" s="4">
        <v>-4.4999999999999997E-3</v>
      </c>
    </row>
    <row r="430" spans="1:7" x14ac:dyDescent="0.3">
      <c r="A430" s="25">
        <v>45482</v>
      </c>
      <c r="B430" s="13">
        <v>24433.200000000001</v>
      </c>
      <c r="C430" s="13">
        <v>24351</v>
      </c>
      <c r="D430" s="13">
        <v>24443.599999999999</v>
      </c>
      <c r="E430" s="13">
        <v>24331.9</v>
      </c>
      <c r="F430" t="s">
        <v>880</v>
      </c>
      <c r="G430" s="4">
        <v>4.5999999999999999E-3</v>
      </c>
    </row>
    <row r="431" spans="1:7" x14ac:dyDescent="0.3">
      <c r="A431" s="25">
        <v>45481</v>
      </c>
      <c r="B431" s="13">
        <v>24320.55</v>
      </c>
      <c r="C431" s="13">
        <v>24329.45</v>
      </c>
      <c r="D431" s="13">
        <v>24344.6</v>
      </c>
      <c r="E431" s="13">
        <v>24240.55</v>
      </c>
      <c r="F431" t="s">
        <v>879</v>
      </c>
      <c r="G431" s="4">
        <v>-1E-4</v>
      </c>
    </row>
    <row r="432" spans="1:7" x14ac:dyDescent="0.3">
      <c r="A432" s="25">
        <v>45478</v>
      </c>
      <c r="B432" s="13">
        <v>24323.85</v>
      </c>
      <c r="C432" s="13">
        <v>24213.35</v>
      </c>
      <c r="D432" s="13">
        <v>24363</v>
      </c>
      <c r="E432" s="13">
        <v>24168.85</v>
      </c>
      <c r="F432" t="s">
        <v>878</v>
      </c>
      <c r="G432" s="4">
        <v>8.9999999999999998E-4</v>
      </c>
    </row>
    <row r="433" spans="1:7" x14ac:dyDescent="0.3">
      <c r="A433" s="25">
        <v>45477</v>
      </c>
      <c r="B433" s="13">
        <v>24302.15</v>
      </c>
      <c r="C433" s="13">
        <v>24369.95</v>
      </c>
      <c r="D433" s="13">
        <v>24401</v>
      </c>
      <c r="E433" s="13">
        <v>24281</v>
      </c>
      <c r="F433" t="s">
        <v>877</v>
      </c>
      <c r="G433" s="4">
        <v>5.9999999999999995E-4</v>
      </c>
    </row>
    <row r="434" spans="1:7" x14ac:dyDescent="0.3">
      <c r="A434" s="25">
        <v>45476</v>
      </c>
      <c r="B434" s="13">
        <v>24286.5</v>
      </c>
      <c r="C434" s="13">
        <v>24291.75</v>
      </c>
      <c r="D434" s="13">
        <v>24309.15</v>
      </c>
      <c r="E434" s="13">
        <v>24207.1</v>
      </c>
      <c r="F434" t="s">
        <v>876</v>
      </c>
      <c r="G434" s="4">
        <v>6.7000000000000002E-3</v>
      </c>
    </row>
    <row r="435" spans="1:7" x14ac:dyDescent="0.3">
      <c r="A435" s="25">
        <v>45475</v>
      </c>
      <c r="B435" s="13">
        <v>24123.85</v>
      </c>
      <c r="C435" s="13">
        <v>24228.75</v>
      </c>
      <c r="D435" s="13">
        <v>24236.35</v>
      </c>
      <c r="E435" s="13">
        <v>24056.400000000001</v>
      </c>
      <c r="F435" t="s">
        <v>875</v>
      </c>
      <c r="G435" s="4">
        <v>-6.9999999999999999E-4</v>
      </c>
    </row>
    <row r="436" spans="1:7" x14ac:dyDescent="0.3">
      <c r="A436" s="25">
        <v>45474</v>
      </c>
      <c r="B436" s="13">
        <v>24141.95</v>
      </c>
      <c r="C436" s="13">
        <v>23992.95</v>
      </c>
      <c r="D436" s="13">
        <v>24164</v>
      </c>
      <c r="E436" s="13">
        <v>23992.7</v>
      </c>
      <c r="F436" t="s">
        <v>874</v>
      </c>
      <c r="G436" s="4">
        <v>5.4999999999999997E-3</v>
      </c>
    </row>
    <row r="437" spans="1:7" x14ac:dyDescent="0.3">
      <c r="A437" s="25">
        <v>45471</v>
      </c>
      <c r="B437" s="13">
        <v>24010.6</v>
      </c>
      <c r="C437" s="13">
        <v>24085.9</v>
      </c>
      <c r="D437" s="13">
        <v>24174</v>
      </c>
      <c r="E437" s="13">
        <v>23985.8</v>
      </c>
      <c r="F437" t="s">
        <v>873</v>
      </c>
      <c r="G437" s="4">
        <v>-1.4E-3</v>
      </c>
    </row>
    <row r="438" spans="1:7" x14ac:dyDescent="0.3">
      <c r="A438" s="25">
        <v>45470</v>
      </c>
      <c r="B438" s="13">
        <v>24044.5</v>
      </c>
      <c r="C438" s="13">
        <v>23881.55</v>
      </c>
      <c r="D438" s="13">
        <v>24087.45</v>
      </c>
      <c r="E438" s="13">
        <v>23805.4</v>
      </c>
      <c r="F438" t="s">
        <v>872</v>
      </c>
      <c r="G438" s="4">
        <v>7.4000000000000003E-3</v>
      </c>
    </row>
    <row r="439" spans="1:7" x14ac:dyDescent="0.3">
      <c r="A439" s="25">
        <v>45469</v>
      </c>
      <c r="B439" s="13">
        <v>23868.799999999999</v>
      </c>
      <c r="C439" s="13">
        <v>23723.1</v>
      </c>
      <c r="D439" s="13">
        <v>23889.9</v>
      </c>
      <c r="E439" s="13">
        <v>23670.45</v>
      </c>
      <c r="F439" t="s">
        <v>871</v>
      </c>
      <c r="G439" s="4">
        <v>6.1999999999999998E-3</v>
      </c>
    </row>
    <row r="440" spans="1:7" x14ac:dyDescent="0.3">
      <c r="A440" s="25">
        <v>45468</v>
      </c>
      <c r="B440" s="13">
        <v>23721.3</v>
      </c>
      <c r="C440" s="13">
        <v>23577.1</v>
      </c>
      <c r="D440" s="13">
        <v>23754.15</v>
      </c>
      <c r="E440" s="13">
        <v>23562.05</v>
      </c>
      <c r="F440" t="s">
        <v>870</v>
      </c>
      <c r="G440" s="4">
        <v>7.7999999999999996E-3</v>
      </c>
    </row>
    <row r="441" spans="1:7" x14ac:dyDescent="0.3">
      <c r="A441" s="25">
        <v>45467</v>
      </c>
      <c r="B441" s="13">
        <v>23537.85</v>
      </c>
      <c r="C441" s="13">
        <v>23382.3</v>
      </c>
      <c r="D441" s="13">
        <v>23558.1</v>
      </c>
      <c r="E441" s="13">
        <v>23350</v>
      </c>
      <c r="F441" t="s">
        <v>869</v>
      </c>
      <c r="G441" s="4">
        <v>1.6000000000000001E-3</v>
      </c>
    </row>
    <row r="442" spans="1:7" x14ac:dyDescent="0.3">
      <c r="A442" s="25">
        <v>45464</v>
      </c>
      <c r="B442" s="13">
        <v>23501.1</v>
      </c>
      <c r="C442" s="13">
        <v>23661.15</v>
      </c>
      <c r="D442" s="13">
        <v>23667.1</v>
      </c>
      <c r="E442" s="13">
        <v>23398.2</v>
      </c>
      <c r="F442" t="s">
        <v>868</v>
      </c>
      <c r="G442" s="4">
        <v>-2.8E-3</v>
      </c>
    </row>
    <row r="443" spans="1:7" x14ac:dyDescent="0.3">
      <c r="A443" s="25">
        <v>45463</v>
      </c>
      <c r="B443" s="13">
        <v>23567</v>
      </c>
      <c r="C443" s="13">
        <v>23586.15</v>
      </c>
      <c r="D443" s="13">
        <v>23624</v>
      </c>
      <c r="E443" s="13">
        <v>23442.6</v>
      </c>
      <c r="F443" t="s">
        <v>867</v>
      </c>
      <c r="G443" s="4">
        <v>2.2000000000000001E-3</v>
      </c>
    </row>
    <row r="444" spans="1:7" x14ac:dyDescent="0.3">
      <c r="A444" s="25">
        <v>45462</v>
      </c>
      <c r="B444" s="13">
        <v>23516</v>
      </c>
      <c r="C444" s="13">
        <v>23629.85</v>
      </c>
      <c r="D444" s="13">
        <v>23664</v>
      </c>
      <c r="E444" s="13">
        <v>23412.9</v>
      </c>
      <c r="F444" t="s">
        <v>866</v>
      </c>
      <c r="G444" s="4">
        <v>-1.8E-3</v>
      </c>
    </row>
    <row r="445" spans="1:7" x14ac:dyDescent="0.3">
      <c r="A445" s="25">
        <v>45461</v>
      </c>
      <c r="B445" s="13">
        <v>23557.9</v>
      </c>
      <c r="C445" s="13">
        <v>23570.799999999999</v>
      </c>
      <c r="D445" s="13">
        <v>23579.05</v>
      </c>
      <c r="E445" s="13">
        <v>23499.7</v>
      </c>
      <c r="F445" t="s">
        <v>865</v>
      </c>
      <c r="G445" s="4">
        <v>3.8999999999999998E-3</v>
      </c>
    </row>
    <row r="446" spans="1:7" x14ac:dyDescent="0.3">
      <c r="A446" s="25">
        <v>45457</v>
      </c>
      <c r="B446" s="13">
        <v>23465.599999999999</v>
      </c>
      <c r="C446" s="13">
        <v>23464.95</v>
      </c>
      <c r="D446" s="13">
        <v>23490.400000000001</v>
      </c>
      <c r="E446" s="13">
        <v>23334.25</v>
      </c>
      <c r="F446" t="s">
        <v>864</v>
      </c>
      <c r="G446" s="4">
        <v>2.8999999999999998E-3</v>
      </c>
    </row>
    <row r="447" spans="1:7" x14ac:dyDescent="0.3">
      <c r="A447" s="25">
        <v>45456</v>
      </c>
      <c r="B447" s="13">
        <v>23398.9</v>
      </c>
      <c r="C447" s="13">
        <v>23480.95</v>
      </c>
      <c r="D447" s="13">
        <v>23481.05</v>
      </c>
      <c r="E447" s="13">
        <v>23353.9</v>
      </c>
      <c r="F447" t="s">
        <v>863</v>
      </c>
      <c r="G447" s="4">
        <v>3.3E-3</v>
      </c>
    </row>
    <row r="448" spans="1:7" x14ac:dyDescent="0.3">
      <c r="A448" s="25">
        <v>45455</v>
      </c>
      <c r="B448" s="13">
        <v>23322.95</v>
      </c>
      <c r="C448" s="13">
        <v>23344.45</v>
      </c>
      <c r="D448" s="13">
        <v>23441.95</v>
      </c>
      <c r="E448" s="13">
        <v>23295.95</v>
      </c>
      <c r="F448" t="s">
        <v>429</v>
      </c>
      <c r="G448" s="4">
        <v>2.5000000000000001E-3</v>
      </c>
    </row>
    <row r="449" spans="1:7" x14ac:dyDescent="0.3">
      <c r="A449" s="25">
        <v>45454</v>
      </c>
      <c r="B449" s="13">
        <v>23264.85</v>
      </c>
      <c r="C449" s="13">
        <v>23283.75</v>
      </c>
      <c r="D449" s="13">
        <v>23389.45</v>
      </c>
      <c r="E449" s="13">
        <v>23206.65</v>
      </c>
      <c r="F449" t="s">
        <v>862</v>
      </c>
      <c r="G449" s="4">
        <v>2.0000000000000001E-4</v>
      </c>
    </row>
    <row r="450" spans="1:7" x14ac:dyDescent="0.3">
      <c r="A450" s="25">
        <v>45453</v>
      </c>
      <c r="B450" s="13">
        <v>23259.200000000001</v>
      </c>
      <c r="C450" s="13">
        <v>23319.15</v>
      </c>
      <c r="D450" s="13">
        <v>23411.9</v>
      </c>
      <c r="E450" s="13">
        <v>23227.15</v>
      </c>
      <c r="F450" t="s">
        <v>861</v>
      </c>
      <c r="G450" s="4">
        <v>-1.2999999999999999E-3</v>
      </c>
    </row>
    <row r="451" spans="1:7" x14ac:dyDescent="0.3">
      <c r="A451" s="25">
        <v>45450</v>
      </c>
      <c r="B451" s="13">
        <v>23290.15</v>
      </c>
      <c r="C451" s="13">
        <v>22821.85</v>
      </c>
      <c r="D451" s="13">
        <v>23320.2</v>
      </c>
      <c r="E451" s="13">
        <v>22789.05</v>
      </c>
      <c r="F451" t="s">
        <v>860</v>
      </c>
      <c r="G451" s="4">
        <v>2.0500000000000001E-2</v>
      </c>
    </row>
    <row r="452" spans="1:7" x14ac:dyDescent="0.3">
      <c r="A452" s="25">
        <v>45449</v>
      </c>
      <c r="B452" s="13">
        <v>22821.4</v>
      </c>
      <c r="C452" s="13">
        <v>22798.6</v>
      </c>
      <c r="D452" s="13">
        <v>22910.15</v>
      </c>
      <c r="E452" s="13">
        <v>22642.6</v>
      </c>
      <c r="F452" t="s">
        <v>859</v>
      </c>
      <c r="G452" s="4">
        <v>8.8999999999999999E-3</v>
      </c>
    </row>
    <row r="453" spans="1:7" x14ac:dyDescent="0.3">
      <c r="A453" s="25">
        <v>45448</v>
      </c>
      <c r="B453" s="13">
        <v>22620.35</v>
      </c>
      <c r="C453" s="13">
        <v>22128.35</v>
      </c>
      <c r="D453" s="13">
        <v>22670.400000000001</v>
      </c>
      <c r="E453" s="13">
        <v>21791.95</v>
      </c>
      <c r="F453" t="s">
        <v>858</v>
      </c>
      <c r="G453" s="4">
        <v>3.3599999999999998E-2</v>
      </c>
    </row>
    <row r="454" spans="1:7" x14ac:dyDescent="0.3">
      <c r="A454" s="25">
        <v>45447</v>
      </c>
      <c r="B454" s="13">
        <v>21884.5</v>
      </c>
      <c r="C454" s="13">
        <v>23179.5</v>
      </c>
      <c r="D454" s="13">
        <v>23179.5</v>
      </c>
      <c r="E454" s="13">
        <v>21281.45</v>
      </c>
      <c r="F454" t="s">
        <v>857</v>
      </c>
      <c r="G454" s="4">
        <v>-5.9299999999999999E-2</v>
      </c>
    </row>
    <row r="455" spans="1:7" x14ac:dyDescent="0.3">
      <c r="A455" s="25">
        <v>45446</v>
      </c>
      <c r="B455" s="13">
        <v>23263.9</v>
      </c>
      <c r="C455" s="13">
        <v>23337.9</v>
      </c>
      <c r="D455" s="13">
        <v>23338.7</v>
      </c>
      <c r="E455" s="13">
        <v>23062.3</v>
      </c>
      <c r="F455" t="s">
        <v>856</v>
      </c>
      <c r="G455" s="4">
        <v>3.2500000000000001E-2</v>
      </c>
    </row>
    <row r="456" spans="1:7" x14ac:dyDescent="0.3">
      <c r="A456" s="25">
        <v>45443</v>
      </c>
      <c r="B456" s="13">
        <v>22530.7</v>
      </c>
      <c r="C456" s="13">
        <v>22568.1</v>
      </c>
      <c r="D456" s="13">
        <v>22653.75</v>
      </c>
      <c r="E456" s="13">
        <v>22465.1</v>
      </c>
      <c r="F456" t="s">
        <v>855</v>
      </c>
      <c r="G456" s="4">
        <v>1.9E-3</v>
      </c>
    </row>
    <row r="457" spans="1:7" x14ac:dyDescent="0.3">
      <c r="A457" s="25">
        <v>45442</v>
      </c>
      <c r="B457" s="13">
        <v>22488.65</v>
      </c>
      <c r="C457" s="13">
        <v>22617.45</v>
      </c>
      <c r="D457" s="13">
        <v>22705.75</v>
      </c>
      <c r="E457" s="13">
        <v>22417</v>
      </c>
      <c r="F457" t="s">
        <v>854</v>
      </c>
      <c r="G457" s="4">
        <v>-9.4999999999999998E-3</v>
      </c>
    </row>
    <row r="458" spans="1:7" x14ac:dyDescent="0.3">
      <c r="A458" s="25">
        <v>45441</v>
      </c>
      <c r="B458" s="13">
        <v>22704.7</v>
      </c>
      <c r="C458" s="13">
        <v>22762.75</v>
      </c>
      <c r="D458" s="13">
        <v>22825.5</v>
      </c>
      <c r="E458" s="13">
        <v>22685.45</v>
      </c>
      <c r="F458" t="s">
        <v>853</v>
      </c>
      <c r="G458" s="4">
        <v>-8.0000000000000002E-3</v>
      </c>
    </row>
    <row r="459" spans="1:7" x14ac:dyDescent="0.3">
      <c r="A459" s="25">
        <v>45440</v>
      </c>
      <c r="B459" s="13">
        <v>22888.15</v>
      </c>
      <c r="C459" s="13">
        <v>22977.15</v>
      </c>
      <c r="D459" s="13">
        <v>22998.55</v>
      </c>
      <c r="E459" s="13">
        <v>22858.5</v>
      </c>
      <c r="F459" t="s">
        <v>852</v>
      </c>
      <c r="G459" s="4">
        <v>-1.9E-3</v>
      </c>
    </row>
    <row r="460" spans="1:7" x14ac:dyDescent="0.3">
      <c r="A460" s="25">
        <v>45439</v>
      </c>
      <c r="B460" s="13">
        <v>22932.45</v>
      </c>
      <c r="C460" s="13">
        <v>23038.95</v>
      </c>
      <c r="D460" s="13">
        <v>23110.799999999999</v>
      </c>
      <c r="E460" s="13">
        <v>22871.200000000001</v>
      </c>
      <c r="F460" t="s">
        <v>851</v>
      </c>
      <c r="G460" s="4">
        <v>-1.1000000000000001E-3</v>
      </c>
    </row>
    <row r="461" spans="1:7" x14ac:dyDescent="0.3">
      <c r="A461" s="25">
        <v>45436</v>
      </c>
      <c r="B461" s="13">
        <v>22957.1</v>
      </c>
      <c r="C461" s="13">
        <v>22930.75</v>
      </c>
      <c r="D461" s="13">
        <v>23026.400000000001</v>
      </c>
      <c r="E461" s="13">
        <v>22908</v>
      </c>
      <c r="F461" t="s">
        <v>850</v>
      </c>
      <c r="G461" s="4">
        <v>-5.0000000000000001E-4</v>
      </c>
    </row>
    <row r="462" spans="1:7" x14ac:dyDescent="0.3">
      <c r="A462" s="25">
        <v>45435</v>
      </c>
      <c r="B462" s="13">
        <v>22967.65</v>
      </c>
      <c r="C462" s="13">
        <v>22614.1</v>
      </c>
      <c r="D462" s="13">
        <v>22993.599999999999</v>
      </c>
      <c r="E462" s="13">
        <v>22577.45</v>
      </c>
      <c r="F462" t="s">
        <v>849</v>
      </c>
      <c r="G462" s="4">
        <v>1.6400000000000001E-2</v>
      </c>
    </row>
    <row r="463" spans="1:7" x14ac:dyDescent="0.3">
      <c r="A463" s="25">
        <v>45434</v>
      </c>
      <c r="B463" s="13">
        <v>22597.8</v>
      </c>
      <c r="C463" s="13">
        <v>22576.6</v>
      </c>
      <c r="D463" s="13">
        <v>22629.5</v>
      </c>
      <c r="E463" s="13">
        <v>22483.15</v>
      </c>
      <c r="F463" t="s">
        <v>848</v>
      </c>
      <c r="G463" s="4">
        <v>3.0999999999999999E-3</v>
      </c>
    </row>
    <row r="464" spans="1:7" x14ac:dyDescent="0.3">
      <c r="A464" s="25">
        <v>45433</v>
      </c>
      <c r="B464" s="13">
        <v>22529.05</v>
      </c>
      <c r="C464" s="13">
        <v>22404.55</v>
      </c>
      <c r="D464" s="13">
        <v>22591.1</v>
      </c>
      <c r="E464" s="13">
        <v>22404.55</v>
      </c>
      <c r="F464" t="s">
        <v>847</v>
      </c>
      <c r="G464" s="4">
        <v>1.1999999999999999E-3</v>
      </c>
    </row>
    <row r="465" spans="1:7" x14ac:dyDescent="0.3">
      <c r="A465" s="25">
        <v>45430</v>
      </c>
      <c r="B465" s="13">
        <v>22502</v>
      </c>
      <c r="C465" s="13">
        <v>22512.85</v>
      </c>
      <c r="D465" s="13">
        <v>22520.25</v>
      </c>
      <c r="E465" s="13">
        <v>22470.05</v>
      </c>
      <c r="F465" t="s">
        <v>846</v>
      </c>
      <c r="G465" s="4">
        <v>1.6000000000000001E-3</v>
      </c>
    </row>
    <row r="466" spans="1:7" x14ac:dyDescent="0.3">
      <c r="A466" s="25">
        <v>45429</v>
      </c>
      <c r="B466" s="13">
        <v>22466.1</v>
      </c>
      <c r="C466" s="13">
        <v>22415.25</v>
      </c>
      <c r="D466" s="13">
        <v>22502.15</v>
      </c>
      <c r="E466" s="13">
        <v>22345.65</v>
      </c>
      <c r="F466" t="s">
        <v>845</v>
      </c>
      <c r="G466" s="4">
        <v>2.8E-3</v>
      </c>
    </row>
    <row r="467" spans="1:7" x14ac:dyDescent="0.3">
      <c r="A467" s="25">
        <v>45428</v>
      </c>
      <c r="B467" s="13">
        <v>22403.85</v>
      </c>
      <c r="C467" s="13">
        <v>22319.200000000001</v>
      </c>
      <c r="D467" s="13">
        <v>22432.25</v>
      </c>
      <c r="E467" s="13">
        <v>22054.55</v>
      </c>
      <c r="F467" t="s">
        <v>844</v>
      </c>
      <c r="G467" s="4">
        <v>9.1999999999999998E-3</v>
      </c>
    </row>
    <row r="468" spans="1:7" x14ac:dyDescent="0.3">
      <c r="A468" s="25">
        <v>45427</v>
      </c>
      <c r="B468" s="13">
        <v>22200.55</v>
      </c>
      <c r="C468" s="13">
        <v>22255.599999999999</v>
      </c>
      <c r="D468" s="13">
        <v>22297.55</v>
      </c>
      <c r="E468" s="13">
        <v>22151.75</v>
      </c>
      <c r="F468" t="s">
        <v>843</v>
      </c>
      <c r="G468" s="4">
        <v>-8.0000000000000004E-4</v>
      </c>
    </row>
    <row r="469" spans="1:7" x14ac:dyDescent="0.3">
      <c r="A469" s="25">
        <v>45426</v>
      </c>
      <c r="B469" s="13">
        <v>22217.85</v>
      </c>
      <c r="C469" s="13">
        <v>22112.9</v>
      </c>
      <c r="D469" s="13">
        <v>22270.05</v>
      </c>
      <c r="E469" s="13">
        <v>22081.25</v>
      </c>
      <c r="F469" t="s">
        <v>842</v>
      </c>
      <c r="G469" s="4">
        <v>5.1000000000000004E-3</v>
      </c>
    </row>
    <row r="470" spans="1:7" x14ac:dyDescent="0.3">
      <c r="A470" s="25">
        <v>45425</v>
      </c>
      <c r="B470" s="13">
        <v>22104.05</v>
      </c>
      <c r="C470" s="13">
        <v>22027.95</v>
      </c>
      <c r="D470" s="13">
        <v>22131.65</v>
      </c>
      <c r="E470" s="13">
        <v>21821.05</v>
      </c>
      <c r="F470" t="s">
        <v>841</v>
      </c>
      <c r="G470" s="4">
        <v>2.2000000000000001E-3</v>
      </c>
    </row>
    <row r="471" spans="1:7" x14ac:dyDescent="0.3">
      <c r="A471" s="25">
        <v>45422</v>
      </c>
      <c r="B471" s="13">
        <v>22055.200000000001</v>
      </c>
      <c r="C471" s="13">
        <v>21990.95</v>
      </c>
      <c r="D471" s="13">
        <v>22131.3</v>
      </c>
      <c r="E471" s="13">
        <v>21950.3</v>
      </c>
      <c r="F471" t="s">
        <v>840</v>
      </c>
      <c r="G471" s="4">
        <v>4.4000000000000003E-3</v>
      </c>
    </row>
    <row r="472" spans="1:7" x14ac:dyDescent="0.3">
      <c r="A472" s="25">
        <v>45421</v>
      </c>
      <c r="B472" s="13">
        <v>21957.5</v>
      </c>
      <c r="C472" s="13">
        <v>22224.799999999999</v>
      </c>
      <c r="D472" s="13">
        <v>22307.75</v>
      </c>
      <c r="E472" s="13">
        <v>21932.400000000001</v>
      </c>
      <c r="F472" t="s">
        <v>839</v>
      </c>
      <c r="G472" s="4">
        <v>-1.55E-2</v>
      </c>
    </row>
    <row r="473" spans="1:7" x14ac:dyDescent="0.3">
      <c r="A473" s="25">
        <v>45420</v>
      </c>
      <c r="B473" s="13">
        <v>22302.5</v>
      </c>
      <c r="C473" s="13">
        <v>22231.200000000001</v>
      </c>
      <c r="D473" s="13">
        <v>22368.65</v>
      </c>
      <c r="E473" s="13">
        <v>22185.200000000001</v>
      </c>
      <c r="F473" t="s">
        <v>838</v>
      </c>
      <c r="G473" s="4">
        <v>0</v>
      </c>
    </row>
    <row r="474" spans="1:7" x14ac:dyDescent="0.3">
      <c r="A474" s="25">
        <v>45419</v>
      </c>
      <c r="B474" s="13">
        <v>22302.5</v>
      </c>
      <c r="C474" s="13">
        <v>22489.75</v>
      </c>
      <c r="D474" s="13">
        <v>22499.05</v>
      </c>
      <c r="E474" s="13">
        <v>22232.05</v>
      </c>
      <c r="F474" t="s">
        <v>837</v>
      </c>
      <c r="G474" s="4">
        <v>-6.1999999999999998E-3</v>
      </c>
    </row>
    <row r="475" spans="1:7" x14ac:dyDescent="0.3">
      <c r="A475" s="25">
        <v>45418</v>
      </c>
      <c r="B475" s="13">
        <v>22442.7</v>
      </c>
      <c r="C475" s="13">
        <v>22561.599999999999</v>
      </c>
      <c r="D475" s="13">
        <v>22588.799999999999</v>
      </c>
      <c r="E475" s="13">
        <v>22409.45</v>
      </c>
      <c r="F475" t="s">
        <v>836</v>
      </c>
      <c r="G475" s="4">
        <v>-1.5E-3</v>
      </c>
    </row>
    <row r="476" spans="1:7" x14ac:dyDescent="0.3">
      <c r="A476" s="25">
        <v>45415</v>
      </c>
      <c r="B476" s="13">
        <v>22475.85</v>
      </c>
      <c r="C476" s="13">
        <v>22766.35</v>
      </c>
      <c r="D476" s="13">
        <v>22794.7</v>
      </c>
      <c r="E476" s="13">
        <v>22348.05</v>
      </c>
      <c r="F476" t="s">
        <v>835</v>
      </c>
      <c r="G476" s="4">
        <v>-7.6E-3</v>
      </c>
    </row>
    <row r="477" spans="1:7" x14ac:dyDescent="0.3">
      <c r="A477" s="25">
        <v>45414</v>
      </c>
      <c r="B477" s="13">
        <v>22648.2</v>
      </c>
      <c r="C477" s="13">
        <v>22567.85</v>
      </c>
      <c r="D477" s="13">
        <v>22710.5</v>
      </c>
      <c r="E477" s="13">
        <v>22567.85</v>
      </c>
      <c r="F477" t="s">
        <v>834</v>
      </c>
      <c r="G477" s="4">
        <v>1.9E-3</v>
      </c>
    </row>
    <row r="478" spans="1:7" x14ac:dyDescent="0.3">
      <c r="A478" s="25">
        <v>45412</v>
      </c>
      <c r="B478" s="13">
        <v>22604.85</v>
      </c>
      <c r="C478" s="13">
        <v>22679.65</v>
      </c>
      <c r="D478" s="13">
        <v>22783.35</v>
      </c>
      <c r="E478" s="13">
        <v>22568.400000000001</v>
      </c>
      <c r="F478" t="s">
        <v>833</v>
      </c>
      <c r="G478" s="4">
        <v>-1.6999999999999999E-3</v>
      </c>
    </row>
    <row r="479" spans="1:7" x14ac:dyDescent="0.3">
      <c r="A479" s="25">
        <v>45411</v>
      </c>
      <c r="B479" s="13">
        <v>22643.4</v>
      </c>
      <c r="C479" s="13">
        <v>22475.55</v>
      </c>
      <c r="D479" s="13">
        <v>22655.8</v>
      </c>
      <c r="E479" s="13">
        <v>22441.9</v>
      </c>
      <c r="F479" t="s">
        <v>832</v>
      </c>
      <c r="G479" s="4">
        <v>0.01</v>
      </c>
    </row>
    <row r="480" spans="1:7" x14ac:dyDescent="0.3">
      <c r="A480" s="25">
        <v>45408</v>
      </c>
      <c r="B480" s="13">
        <v>22419.95</v>
      </c>
      <c r="C480" s="13">
        <v>22620.400000000001</v>
      </c>
      <c r="D480" s="13">
        <v>22620.400000000001</v>
      </c>
      <c r="E480" s="13">
        <v>22385.55</v>
      </c>
      <c r="F480" t="s">
        <v>831</v>
      </c>
      <c r="G480" s="4">
        <v>-6.7000000000000002E-3</v>
      </c>
    </row>
    <row r="481" spans="1:7" x14ac:dyDescent="0.3">
      <c r="A481" s="25">
        <v>45407</v>
      </c>
      <c r="B481" s="13">
        <v>22570.35</v>
      </c>
      <c r="C481" s="13">
        <v>22316.9</v>
      </c>
      <c r="D481" s="13">
        <v>22625.95</v>
      </c>
      <c r="E481" s="13">
        <v>22305.25</v>
      </c>
      <c r="F481" t="s">
        <v>830</v>
      </c>
      <c r="G481" s="4">
        <v>7.4999999999999997E-3</v>
      </c>
    </row>
    <row r="482" spans="1:7" x14ac:dyDescent="0.3">
      <c r="A482" s="25">
        <v>45406</v>
      </c>
      <c r="B482" s="13">
        <v>22402.400000000001</v>
      </c>
      <c r="C482" s="13">
        <v>22421.55</v>
      </c>
      <c r="D482" s="13">
        <v>22476.45</v>
      </c>
      <c r="E482" s="13">
        <v>22384</v>
      </c>
      <c r="F482" t="s">
        <v>829</v>
      </c>
      <c r="G482" s="4">
        <v>1.5E-3</v>
      </c>
    </row>
    <row r="483" spans="1:7" x14ac:dyDescent="0.3">
      <c r="A483" s="25">
        <v>45405</v>
      </c>
      <c r="B483" s="13">
        <v>22368</v>
      </c>
      <c r="C483" s="13">
        <v>22447.05</v>
      </c>
      <c r="D483" s="13">
        <v>22447.55</v>
      </c>
      <c r="E483" s="13">
        <v>22349.45</v>
      </c>
      <c r="F483" t="s">
        <v>828</v>
      </c>
      <c r="G483" s="4">
        <v>1.4E-3</v>
      </c>
    </row>
    <row r="484" spans="1:7" x14ac:dyDescent="0.3">
      <c r="A484" s="25">
        <v>45404</v>
      </c>
      <c r="B484" s="13">
        <v>22336.400000000001</v>
      </c>
      <c r="C484" s="13">
        <v>22336.9</v>
      </c>
      <c r="D484" s="13">
        <v>22375.65</v>
      </c>
      <c r="E484" s="13">
        <v>22198.15</v>
      </c>
      <c r="F484" t="s">
        <v>827</v>
      </c>
      <c r="G484" s="4">
        <v>8.6E-3</v>
      </c>
    </row>
    <row r="485" spans="1:7" x14ac:dyDescent="0.3">
      <c r="A485" s="25">
        <v>45401</v>
      </c>
      <c r="B485" s="13">
        <v>22147</v>
      </c>
      <c r="C485" s="13">
        <v>21861.5</v>
      </c>
      <c r="D485" s="13">
        <v>22179.55</v>
      </c>
      <c r="E485" s="13">
        <v>21777.65</v>
      </c>
      <c r="F485" t="s">
        <v>826</v>
      </c>
      <c r="G485" s="4">
        <v>6.8999999999999999E-3</v>
      </c>
    </row>
    <row r="486" spans="1:7" x14ac:dyDescent="0.3">
      <c r="A486" s="25">
        <v>45400</v>
      </c>
      <c r="B486" s="13">
        <v>21995.85</v>
      </c>
      <c r="C486" s="13">
        <v>22212.35</v>
      </c>
      <c r="D486" s="13">
        <v>22326.5</v>
      </c>
      <c r="E486" s="13">
        <v>21961.7</v>
      </c>
      <c r="F486" t="s">
        <v>825</v>
      </c>
      <c r="G486" s="4">
        <v>-6.8999999999999999E-3</v>
      </c>
    </row>
    <row r="487" spans="1:7" x14ac:dyDescent="0.3">
      <c r="A487" s="25">
        <v>45398</v>
      </c>
      <c r="B487" s="13">
        <v>22147.9</v>
      </c>
      <c r="C487" s="13">
        <v>22125.3</v>
      </c>
      <c r="D487" s="13">
        <v>22213.75</v>
      </c>
      <c r="E487" s="13">
        <v>22079.45</v>
      </c>
      <c r="F487" t="s">
        <v>824</v>
      </c>
      <c r="G487" s="4">
        <v>-5.5999999999999999E-3</v>
      </c>
    </row>
    <row r="488" spans="1:7" x14ac:dyDescent="0.3">
      <c r="A488" s="25">
        <v>45397</v>
      </c>
      <c r="B488" s="13">
        <v>22272.5</v>
      </c>
      <c r="C488" s="13">
        <v>22339.05</v>
      </c>
      <c r="D488" s="13">
        <v>22427.45</v>
      </c>
      <c r="E488" s="13">
        <v>22259.55</v>
      </c>
      <c r="F488" t="s">
        <v>823</v>
      </c>
      <c r="G488" s="4">
        <v>-1.0999999999999999E-2</v>
      </c>
    </row>
    <row r="489" spans="1:7" x14ac:dyDescent="0.3">
      <c r="A489" s="25">
        <v>45394</v>
      </c>
      <c r="B489" s="13">
        <v>22519.4</v>
      </c>
      <c r="C489" s="13">
        <v>22677.4</v>
      </c>
      <c r="D489" s="13">
        <v>22726.45</v>
      </c>
      <c r="E489" s="13">
        <v>22503.75</v>
      </c>
      <c r="F489" t="s">
        <v>822</v>
      </c>
      <c r="G489" s="4">
        <v>-1.03E-2</v>
      </c>
    </row>
    <row r="490" spans="1:7" x14ac:dyDescent="0.3">
      <c r="A490" s="25">
        <v>45392</v>
      </c>
      <c r="B490" s="13">
        <v>22753.8</v>
      </c>
      <c r="C490" s="13">
        <v>22720.25</v>
      </c>
      <c r="D490" s="13">
        <v>22775.7</v>
      </c>
      <c r="E490" s="13">
        <v>22673.7</v>
      </c>
      <c r="F490" t="s">
        <v>821</v>
      </c>
      <c r="G490" s="4">
        <v>4.8999999999999998E-3</v>
      </c>
    </row>
    <row r="491" spans="1:7" x14ac:dyDescent="0.3">
      <c r="A491" s="25">
        <v>45391</v>
      </c>
      <c r="B491" s="13">
        <v>22642.75</v>
      </c>
      <c r="C491" s="13">
        <v>22765.1</v>
      </c>
      <c r="D491" s="13">
        <v>22768.400000000001</v>
      </c>
      <c r="E491" s="13">
        <v>22612.25</v>
      </c>
      <c r="F491" t="s">
        <v>820</v>
      </c>
      <c r="G491" s="4">
        <v>-1E-3</v>
      </c>
    </row>
    <row r="492" spans="1:7" x14ac:dyDescent="0.3">
      <c r="A492" s="25">
        <v>45390</v>
      </c>
      <c r="B492" s="13">
        <v>22666.3</v>
      </c>
      <c r="C492" s="13">
        <v>22578.35</v>
      </c>
      <c r="D492" s="13">
        <v>22697.3</v>
      </c>
      <c r="E492" s="13">
        <v>22550.35</v>
      </c>
      <c r="F492" t="s">
        <v>819</v>
      </c>
      <c r="G492" s="4">
        <v>6.7999999999999996E-3</v>
      </c>
    </row>
    <row r="493" spans="1:7" x14ac:dyDescent="0.3">
      <c r="A493" s="25">
        <v>45387</v>
      </c>
      <c r="B493" s="13">
        <v>22513.7</v>
      </c>
      <c r="C493" s="13">
        <v>22486.400000000001</v>
      </c>
      <c r="D493" s="13">
        <v>22537.599999999999</v>
      </c>
      <c r="E493" s="13">
        <v>22427.599999999999</v>
      </c>
      <c r="F493" t="s">
        <v>818</v>
      </c>
      <c r="G493" s="4">
        <v>0</v>
      </c>
    </row>
    <row r="494" spans="1:7" x14ac:dyDescent="0.3">
      <c r="A494" s="25">
        <v>45386</v>
      </c>
      <c r="B494" s="13">
        <v>22514.65</v>
      </c>
      <c r="C494" s="13">
        <v>22592.1</v>
      </c>
      <c r="D494" s="13">
        <v>22619</v>
      </c>
      <c r="E494" s="13">
        <v>22303.8</v>
      </c>
      <c r="F494" t="s">
        <v>817</v>
      </c>
      <c r="G494" s="4">
        <v>3.5999999999999999E-3</v>
      </c>
    </row>
    <row r="495" spans="1:7" x14ac:dyDescent="0.3">
      <c r="A495" s="25">
        <v>45385</v>
      </c>
      <c r="B495" s="13">
        <v>22434.65</v>
      </c>
      <c r="C495" s="13">
        <v>22385.7</v>
      </c>
      <c r="D495" s="13">
        <v>22521.1</v>
      </c>
      <c r="E495" s="13">
        <v>22346.5</v>
      </c>
      <c r="F495" t="s">
        <v>816</v>
      </c>
      <c r="G495" s="4">
        <v>-8.0000000000000004E-4</v>
      </c>
    </row>
    <row r="496" spans="1:7" x14ac:dyDescent="0.3">
      <c r="A496" s="25">
        <v>45384</v>
      </c>
      <c r="B496" s="13">
        <v>22453.3</v>
      </c>
      <c r="C496" s="13">
        <v>22458.799999999999</v>
      </c>
      <c r="D496" s="13">
        <v>22497.599999999999</v>
      </c>
      <c r="E496" s="13">
        <v>22388.15</v>
      </c>
      <c r="F496" t="s">
        <v>815</v>
      </c>
      <c r="G496" s="4">
        <v>-4.0000000000000002E-4</v>
      </c>
    </row>
    <row r="497" spans="1:7" x14ac:dyDescent="0.3">
      <c r="A497" s="25">
        <v>45383</v>
      </c>
      <c r="B497" s="13">
        <v>22462</v>
      </c>
      <c r="C497" s="13">
        <v>22455</v>
      </c>
      <c r="D497" s="13">
        <v>22529.95</v>
      </c>
      <c r="E497" s="13">
        <v>22427.75</v>
      </c>
      <c r="F497" t="s">
        <v>814</v>
      </c>
      <c r="G497" s="4">
        <v>6.1000000000000004E-3</v>
      </c>
    </row>
    <row r="498" spans="1:7" x14ac:dyDescent="0.3">
      <c r="A498" s="25">
        <v>45379</v>
      </c>
      <c r="B498" s="13">
        <v>22326.9</v>
      </c>
      <c r="C498" s="13">
        <v>22163.599999999999</v>
      </c>
      <c r="D498" s="13">
        <v>22516</v>
      </c>
      <c r="E498" s="13">
        <v>22163.599999999999</v>
      </c>
      <c r="F498" t="s">
        <v>813</v>
      </c>
      <c r="G498" s="4">
        <v>9.1999999999999998E-3</v>
      </c>
    </row>
    <row r="499" spans="1:7" x14ac:dyDescent="0.3">
      <c r="A499" s="25">
        <v>45378</v>
      </c>
      <c r="B499" s="13">
        <v>22123.65</v>
      </c>
      <c r="C499" s="13">
        <v>22053.95</v>
      </c>
      <c r="D499" s="13">
        <v>22193.599999999999</v>
      </c>
      <c r="E499" s="13">
        <v>22052.85</v>
      </c>
      <c r="F499" t="s">
        <v>812</v>
      </c>
      <c r="G499" s="4">
        <v>5.4000000000000003E-3</v>
      </c>
    </row>
    <row r="500" spans="1:7" x14ac:dyDescent="0.3">
      <c r="A500" s="25">
        <v>45377</v>
      </c>
      <c r="B500" s="13">
        <v>22004.7</v>
      </c>
      <c r="C500" s="13">
        <v>21947.9</v>
      </c>
      <c r="D500" s="13">
        <v>22073.200000000001</v>
      </c>
      <c r="E500" s="13">
        <v>21947.55</v>
      </c>
      <c r="F500" t="s">
        <v>811</v>
      </c>
      <c r="G500" s="4">
        <v>-4.1999999999999997E-3</v>
      </c>
    </row>
    <row r="501" spans="1:7" x14ac:dyDescent="0.3">
      <c r="A501" s="25">
        <v>45373</v>
      </c>
      <c r="B501" s="13">
        <v>22096.75</v>
      </c>
      <c r="C501" s="13">
        <v>21932.2</v>
      </c>
      <c r="D501" s="13">
        <v>22180.7</v>
      </c>
      <c r="E501" s="13">
        <v>21883.3</v>
      </c>
      <c r="F501" t="s">
        <v>810</v>
      </c>
      <c r="G501" s="4">
        <v>3.8999999999999998E-3</v>
      </c>
    </row>
    <row r="502" spans="1:7" x14ac:dyDescent="0.3">
      <c r="A502" s="25">
        <v>45372</v>
      </c>
      <c r="B502" s="13">
        <v>22011.95</v>
      </c>
      <c r="C502" s="13">
        <v>21989.9</v>
      </c>
      <c r="D502" s="13">
        <v>22080.95</v>
      </c>
      <c r="E502" s="13">
        <v>21941.3</v>
      </c>
      <c r="F502" t="s">
        <v>809</v>
      </c>
      <c r="G502" s="4">
        <v>7.9000000000000008E-3</v>
      </c>
    </row>
    <row r="503" spans="1:7" x14ac:dyDescent="0.3">
      <c r="A503" s="25">
        <v>45371</v>
      </c>
      <c r="B503" s="13">
        <v>21839.1</v>
      </c>
      <c r="C503" s="13">
        <v>21843.9</v>
      </c>
      <c r="D503" s="13">
        <v>21930.9</v>
      </c>
      <c r="E503" s="13">
        <v>21710.2</v>
      </c>
      <c r="F503" t="s">
        <v>808</v>
      </c>
      <c r="G503" s="4">
        <v>1E-3</v>
      </c>
    </row>
    <row r="504" spans="1:7" x14ac:dyDescent="0.3">
      <c r="A504" s="25">
        <v>45370</v>
      </c>
      <c r="B504" s="13">
        <v>21817.45</v>
      </c>
      <c r="C504" s="13">
        <v>21946.45</v>
      </c>
      <c r="D504" s="13">
        <v>21978.3</v>
      </c>
      <c r="E504" s="13">
        <v>21793.1</v>
      </c>
      <c r="F504" t="s">
        <v>807</v>
      </c>
      <c r="G504" s="4">
        <v>-1.0800000000000001E-2</v>
      </c>
    </row>
    <row r="505" spans="1:7" x14ac:dyDescent="0.3">
      <c r="A505" s="25">
        <v>45369</v>
      </c>
      <c r="B505" s="13">
        <v>22055.7</v>
      </c>
      <c r="C505" s="13">
        <v>21990.1</v>
      </c>
      <c r="D505" s="13">
        <v>22123.7</v>
      </c>
      <c r="E505" s="13">
        <v>21916.55</v>
      </c>
      <c r="F505" t="s">
        <v>806</v>
      </c>
      <c r="G505" s="4">
        <v>1.5E-3</v>
      </c>
    </row>
    <row r="506" spans="1:7" x14ac:dyDescent="0.3">
      <c r="A506" s="25">
        <v>45366</v>
      </c>
      <c r="B506" s="13">
        <v>22023.35</v>
      </c>
      <c r="C506" s="13">
        <v>22064.85</v>
      </c>
      <c r="D506" s="13">
        <v>22120.9</v>
      </c>
      <c r="E506" s="13">
        <v>21931.7</v>
      </c>
      <c r="F506" t="s">
        <v>805</v>
      </c>
      <c r="G506" s="4">
        <v>-5.5999999999999999E-3</v>
      </c>
    </row>
    <row r="507" spans="1:7" x14ac:dyDescent="0.3">
      <c r="A507" s="25">
        <v>45365</v>
      </c>
      <c r="B507" s="13">
        <v>22146.65</v>
      </c>
      <c r="C507" s="13">
        <v>21982.55</v>
      </c>
      <c r="D507" s="13">
        <v>22204.6</v>
      </c>
      <c r="E507" s="13">
        <v>21917.5</v>
      </c>
      <c r="F507" t="s">
        <v>804</v>
      </c>
      <c r="G507" s="4">
        <v>6.7999999999999996E-3</v>
      </c>
    </row>
    <row r="508" spans="1:7" x14ac:dyDescent="0.3">
      <c r="A508" s="25">
        <v>45364</v>
      </c>
      <c r="B508" s="13">
        <v>21997.7</v>
      </c>
      <c r="C508" s="13">
        <v>22432.2</v>
      </c>
      <c r="D508" s="13">
        <v>22446.75</v>
      </c>
      <c r="E508" s="13">
        <v>21905.65</v>
      </c>
      <c r="F508" t="s">
        <v>803</v>
      </c>
      <c r="G508" s="4">
        <v>-1.5100000000000001E-2</v>
      </c>
    </row>
    <row r="509" spans="1:7" x14ac:dyDescent="0.3">
      <c r="A509" s="25">
        <v>45363</v>
      </c>
      <c r="B509" s="13">
        <v>22335.7</v>
      </c>
      <c r="C509" s="13">
        <v>22334.45</v>
      </c>
      <c r="D509" s="13">
        <v>22452.55</v>
      </c>
      <c r="E509" s="13">
        <v>22256</v>
      </c>
      <c r="F509" t="s">
        <v>802</v>
      </c>
      <c r="G509" s="4">
        <v>1E-4</v>
      </c>
    </row>
    <row r="510" spans="1:7" x14ac:dyDescent="0.3">
      <c r="A510" s="25">
        <v>45362</v>
      </c>
      <c r="B510" s="13">
        <v>22332.65</v>
      </c>
      <c r="C510" s="13">
        <v>22517.5</v>
      </c>
      <c r="D510" s="13">
        <v>22526.6</v>
      </c>
      <c r="E510" s="13">
        <v>22307.25</v>
      </c>
      <c r="F510" t="s">
        <v>177</v>
      </c>
      <c r="G510" s="4">
        <v>-7.1999999999999998E-3</v>
      </c>
    </row>
    <row r="511" spans="1:7" x14ac:dyDescent="0.3">
      <c r="A511" s="25">
        <v>45358</v>
      </c>
      <c r="B511" s="13">
        <v>22493.55</v>
      </c>
      <c r="C511" s="13">
        <v>22505.3</v>
      </c>
      <c r="D511" s="13">
        <v>22525.65</v>
      </c>
      <c r="E511" s="13">
        <v>22430</v>
      </c>
      <c r="F511" t="s">
        <v>801</v>
      </c>
      <c r="G511" s="4">
        <v>8.9999999999999998E-4</v>
      </c>
    </row>
    <row r="512" spans="1:7" x14ac:dyDescent="0.3">
      <c r="A512" s="25">
        <v>45357</v>
      </c>
      <c r="B512" s="13">
        <v>22474.05</v>
      </c>
      <c r="C512" s="13">
        <v>22327.5</v>
      </c>
      <c r="D512" s="13">
        <v>22497.200000000001</v>
      </c>
      <c r="E512" s="13">
        <v>22224.35</v>
      </c>
      <c r="F512" t="s">
        <v>800</v>
      </c>
      <c r="G512" s="4">
        <v>5.3E-3</v>
      </c>
    </row>
    <row r="513" spans="1:7" x14ac:dyDescent="0.3">
      <c r="A513" s="25">
        <v>45356</v>
      </c>
      <c r="B513" s="13">
        <v>22356.3</v>
      </c>
      <c r="C513" s="13">
        <v>22371.25</v>
      </c>
      <c r="D513" s="13">
        <v>22416.9</v>
      </c>
      <c r="E513" s="13">
        <v>22269.15</v>
      </c>
      <c r="F513" t="s">
        <v>799</v>
      </c>
      <c r="G513" s="4">
        <v>-2.2000000000000001E-3</v>
      </c>
    </row>
    <row r="514" spans="1:7" x14ac:dyDescent="0.3">
      <c r="A514" s="25">
        <v>45355</v>
      </c>
      <c r="B514" s="13">
        <v>22405.599999999999</v>
      </c>
      <c r="C514" s="13">
        <v>22403.5</v>
      </c>
      <c r="D514" s="13">
        <v>22440.9</v>
      </c>
      <c r="E514" s="13">
        <v>22358.3</v>
      </c>
      <c r="F514" t="s">
        <v>798</v>
      </c>
      <c r="G514" s="4">
        <v>1.1999999999999999E-3</v>
      </c>
    </row>
    <row r="515" spans="1:7" x14ac:dyDescent="0.3">
      <c r="A515" s="25">
        <v>45353</v>
      </c>
      <c r="B515" s="13">
        <v>22378.400000000001</v>
      </c>
      <c r="C515" s="13">
        <v>22406.95</v>
      </c>
      <c r="D515" s="13">
        <v>22419.55</v>
      </c>
      <c r="E515" s="13">
        <v>22367.05</v>
      </c>
      <c r="F515" t="s">
        <v>797</v>
      </c>
      <c r="G515" s="4">
        <v>1.8E-3</v>
      </c>
    </row>
    <row r="516" spans="1:7" x14ac:dyDescent="0.3">
      <c r="A516" s="25">
        <v>45352</v>
      </c>
      <c r="B516" s="13">
        <v>22338.75</v>
      </c>
      <c r="C516" s="13">
        <v>22048.3</v>
      </c>
      <c r="D516" s="13">
        <v>22353.3</v>
      </c>
      <c r="E516" s="13">
        <v>22047.75</v>
      </c>
      <c r="F516" t="s">
        <v>796</v>
      </c>
      <c r="G516" s="4">
        <v>1.6199999999999999E-2</v>
      </c>
    </row>
    <row r="517" spans="1:7" x14ac:dyDescent="0.3">
      <c r="A517" s="25">
        <v>45351</v>
      </c>
      <c r="B517" s="13">
        <v>21982.799999999999</v>
      </c>
      <c r="C517" s="13">
        <v>21935.200000000001</v>
      </c>
      <c r="D517" s="13">
        <v>22060.55</v>
      </c>
      <c r="E517" s="13">
        <v>21860.65</v>
      </c>
      <c r="F517" t="s">
        <v>795</v>
      </c>
      <c r="G517" s="4">
        <v>1.4E-3</v>
      </c>
    </row>
    <row r="518" spans="1:7" x14ac:dyDescent="0.3">
      <c r="A518" s="25">
        <v>45350</v>
      </c>
      <c r="B518" s="13">
        <v>21951.15</v>
      </c>
      <c r="C518" s="13">
        <v>22214.1</v>
      </c>
      <c r="D518" s="13">
        <v>22229.15</v>
      </c>
      <c r="E518" s="13">
        <v>21915.85</v>
      </c>
      <c r="F518" t="s">
        <v>794</v>
      </c>
      <c r="G518" s="4">
        <v>-1.11E-2</v>
      </c>
    </row>
    <row r="519" spans="1:7" x14ac:dyDescent="0.3">
      <c r="A519" s="25">
        <v>45349</v>
      </c>
      <c r="B519" s="13">
        <v>22198.35</v>
      </c>
      <c r="C519" s="13">
        <v>22090.2</v>
      </c>
      <c r="D519" s="13">
        <v>22218.25</v>
      </c>
      <c r="E519" s="13">
        <v>22085.65</v>
      </c>
      <c r="F519" t="s">
        <v>793</v>
      </c>
      <c r="G519" s="4">
        <v>3.3999999999999998E-3</v>
      </c>
    </row>
    <row r="520" spans="1:7" x14ac:dyDescent="0.3">
      <c r="A520" s="25">
        <v>45348</v>
      </c>
      <c r="B520" s="13">
        <v>22122.05</v>
      </c>
      <c r="C520" s="13">
        <v>22169.200000000001</v>
      </c>
      <c r="D520" s="13">
        <v>22202.15</v>
      </c>
      <c r="E520" s="13">
        <v>22075.15</v>
      </c>
      <c r="F520" t="s">
        <v>792</v>
      </c>
      <c r="G520" s="4">
        <v>-4.1000000000000003E-3</v>
      </c>
    </row>
    <row r="521" spans="1:7" x14ac:dyDescent="0.3">
      <c r="A521" s="25">
        <v>45345</v>
      </c>
      <c r="B521" s="13">
        <v>22212.7</v>
      </c>
      <c r="C521" s="13">
        <v>22290</v>
      </c>
      <c r="D521" s="13">
        <v>22297.5</v>
      </c>
      <c r="E521" s="13">
        <v>22186.1</v>
      </c>
      <c r="F521" t="s">
        <v>791</v>
      </c>
      <c r="G521" s="4">
        <v>-2.0000000000000001E-4</v>
      </c>
    </row>
    <row r="522" spans="1:7" x14ac:dyDescent="0.3">
      <c r="A522" s="25">
        <v>45344</v>
      </c>
      <c r="B522" s="13">
        <v>22217.45</v>
      </c>
      <c r="C522" s="13">
        <v>22081.55</v>
      </c>
      <c r="D522" s="13">
        <v>22252.5</v>
      </c>
      <c r="E522" s="13">
        <v>21875.25</v>
      </c>
      <c r="F522" t="s">
        <v>790</v>
      </c>
      <c r="G522" s="4">
        <v>7.4000000000000003E-3</v>
      </c>
    </row>
    <row r="523" spans="1:7" x14ac:dyDescent="0.3">
      <c r="A523" s="25">
        <v>45343</v>
      </c>
      <c r="B523" s="13">
        <v>22055.05</v>
      </c>
      <c r="C523" s="13">
        <v>22248.85</v>
      </c>
      <c r="D523" s="13">
        <v>22249.4</v>
      </c>
      <c r="E523" s="13">
        <v>21997.95</v>
      </c>
      <c r="F523" t="s">
        <v>789</v>
      </c>
      <c r="G523" s="4">
        <v>-6.4000000000000003E-3</v>
      </c>
    </row>
    <row r="524" spans="1:7" x14ac:dyDescent="0.3">
      <c r="A524" s="25">
        <v>45342</v>
      </c>
      <c r="B524" s="13">
        <v>22196.95</v>
      </c>
      <c r="C524" s="13">
        <v>22099.200000000001</v>
      </c>
      <c r="D524" s="13">
        <v>22215.599999999999</v>
      </c>
      <c r="E524" s="13">
        <v>22045.85</v>
      </c>
      <c r="F524" t="s">
        <v>208</v>
      </c>
      <c r="G524" s="4">
        <v>3.3999999999999998E-3</v>
      </c>
    </row>
    <row r="525" spans="1:7" x14ac:dyDescent="0.3">
      <c r="A525" s="25">
        <v>45341</v>
      </c>
      <c r="B525" s="13">
        <v>22122.25</v>
      </c>
      <c r="C525" s="13">
        <v>22103.45</v>
      </c>
      <c r="D525" s="13">
        <v>22186.65</v>
      </c>
      <c r="E525" s="13">
        <v>22021.05</v>
      </c>
      <c r="G525" s="4">
        <v>3.7000000000000002E-3</v>
      </c>
    </row>
    <row r="526" spans="1:7" x14ac:dyDescent="0.3">
      <c r="A526" s="25">
        <v>45338</v>
      </c>
      <c r="B526" s="13">
        <v>22040.7</v>
      </c>
      <c r="C526" s="13">
        <v>22020.3</v>
      </c>
      <c r="D526" s="13">
        <v>22068.65</v>
      </c>
      <c r="E526" s="13">
        <v>21968.95</v>
      </c>
      <c r="F526" t="s">
        <v>788</v>
      </c>
      <c r="G526" s="4">
        <v>5.8999999999999999E-3</v>
      </c>
    </row>
    <row r="527" spans="1:7" x14ac:dyDescent="0.3">
      <c r="A527" s="25">
        <v>45337</v>
      </c>
      <c r="B527" s="13">
        <v>21910.75</v>
      </c>
      <c r="C527" s="13">
        <v>21906.55</v>
      </c>
      <c r="D527" s="13">
        <v>21953.85</v>
      </c>
      <c r="E527" s="13">
        <v>21794.799999999999</v>
      </c>
      <c r="F527" t="s">
        <v>787</v>
      </c>
      <c r="G527" s="4">
        <v>3.2000000000000002E-3</v>
      </c>
    </row>
    <row r="528" spans="1:7" x14ac:dyDescent="0.3">
      <c r="A528" s="25">
        <v>45336</v>
      </c>
      <c r="B528" s="13">
        <v>21840.05</v>
      </c>
      <c r="C528" s="13">
        <v>21578.15</v>
      </c>
      <c r="D528" s="13">
        <v>21870.85</v>
      </c>
      <c r="E528" s="13">
        <v>21530.2</v>
      </c>
      <c r="F528" t="s">
        <v>786</v>
      </c>
      <c r="G528" s="4">
        <v>4.4999999999999997E-3</v>
      </c>
    </row>
    <row r="529" spans="1:7" x14ac:dyDescent="0.3">
      <c r="A529" s="25">
        <v>45335</v>
      </c>
      <c r="B529" s="13">
        <v>21743.25</v>
      </c>
      <c r="C529" s="13">
        <v>21664.3</v>
      </c>
      <c r="D529" s="13">
        <v>21766.799999999999</v>
      </c>
      <c r="E529" s="13">
        <v>21543.35</v>
      </c>
      <c r="F529" t="s">
        <v>785</v>
      </c>
      <c r="G529" s="4">
        <v>5.8999999999999999E-3</v>
      </c>
    </row>
    <row r="530" spans="1:7" x14ac:dyDescent="0.3">
      <c r="A530" s="25">
        <v>45334</v>
      </c>
      <c r="B530" s="13">
        <v>21616.05</v>
      </c>
      <c r="C530" s="13">
        <v>21800.799999999999</v>
      </c>
      <c r="D530" s="13">
        <v>21831.7</v>
      </c>
      <c r="E530" s="13">
        <v>21574.75</v>
      </c>
      <c r="F530" t="s">
        <v>784</v>
      </c>
      <c r="G530" s="4">
        <v>-7.6E-3</v>
      </c>
    </row>
    <row r="531" spans="1:7" x14ac:dyDescent="0.3">
      <c r="A531" s="25">
        <v>45331</v>
      </c>
      <c r="B531" s="13">
        <v>21782.5</v>
      </c>
      <c r="C531" s="13">
        <v>21727</v>
      </c>
      <c r="D531" s="13">
        <v>21804.45</v>
      </c>
      <c r="E531" s="13">
        <v>21629.9</v>
      </c>
      <c r="F531" t="s">
        <v>783</v>
      </c>
      <c r="G531" s="4">
        <v>3.0000000000000001E-3</v>
      </c>
    </row>
    <row r="532" spans="1:7" x14ac:dyDescent="0.3">
      <c r="A532" s="25">
        <v>45330</v>
      </c>
      <c r="B532" s="13">
        <v>21717.95</v>
      </c>
      <c r="C532" s="13">
        <v>22009.65</v>
      </c>
      <c r="D532" s="13">
        <v>22011.05</v>
      </c>
      <c r="E532" s="13">
        <v>21665.3</v>
      </c>
      <c r="F532" t="s">
        <v>782</v>
      </c>
      <c r="G532" s="4">
        <v>-9.7000000000000003E-3</v>
      </c>
    </row>
    <row r="533" spans="1:7" x14ac:dyDescent="0.3">
      <c r="A533" s="25">
        <v>45329</v>
      </c>
      <c r="B533" s="13">
        <v>21930.5</v>
      </c>
      <c r="C533" s="13">
        <v>22045.05</v>
      </c>
      <c r="D533" s="13">
        <v>22053.3</v>
      </c>
      <c r="E533" s="13">
        <v>21860.15</v>
      </c>
      <c r="F533" t="s">
        <v>781</v>
      </c>
      <c r="G533" s="4">
        <v>1E-4</v>
      </c>
    </row>
    <row r="534" spans="1:7" x14ac:dyDescent="0.3">
      <c r="A534" s="25">
        <v>45328</v>
      </c>
      <c r="B534" s="13">
        <v>21929.4</v>
      </c>
      <c r="C534" s="13">
        <v>21825.200000000001</v>
      </c>
      <c r="D534" s="13">
        <v>21951.4</v>
      </c>
      <c r="E534" s="13">
        <v>21737.55</v>
      </c>
      <c r="F534" t="s">
        <v>780</v>
      </c>
      <c r="G534" s="4">
        <v>7.1999999999999998E-3</v>
      </c>
    </row>
    <row r="535" spans="1:7" x14ac:dyDescent="0.3">
      <c r="A535" s="25">
        <v>45327</v>
      </c>
      <c r="B535" s="13">
        <v>21771.7</v>
      </c>
      <c r="C535" s="13">
        <v>21921.05</v>
      </c>
      <c r="D535" s="13">
        <v>21964.3</v>
      </c>
      <c r="E535" s="13">
        <v>21726.95</v>
      </c>
      <c r="F535" t="s">
        <v>779</v>
      </c>
      <c r="G535" s="4">
        <v>-3.8E-3</v>
      </c>
    </row>
    <row r="536" spans="1:7" x14ac:dyDescent="0.3">
      <c r="A536" s="25">
        <v>45324</v>
      </c>
      <c r="B536" s="13">
        <v>21853.8</v>
      </c>
      <c r="C536" s="13">
        <v>21812.75</v>
      </c>
      <c r="D536" s="13">
        <v>22126.799999999999</v>
      </c>
      <c r="E536" s="13">
        <v>21805.55</v>
      </c>
      <c r="F536" t="s">
        <v>778</v>
      </c>
      <c r="G536" s="4">
        <v>7.1999999999999998E-3</v>
      </c>
    </row>
    <row r="537" spans="1:7" x14ac:dyDescent="0.3">
      <c r="A537" s="25">
        <v>45323</v>
      </c>
      <c r="B537" s="13">
        <v>21697.45</v>
      </c>
      <c r="C537" s="13">
        <v>21780.65</v>
      </c>
      <c r="D537" s="13">
        <v>21832.95</v>
      </c>
      <c r="E537" s="13">
        <v>21658.75</v>
      </c>
      <c r="F537" t="s">
        <v>777</v>
      </c>
      <c r="G537" s="4">
        <v>-1.2999999999999999E-3</v>
      </c>
    </row>
    <row r="538" spans="1:7" x14ac:dyDescent="0.3">
      <c r="A538" s="25">
        <v>45322</v>
      </c>
      <c r="B538" s="13">
        <v>21725.7</v>
      </c>
      <c r="C538" s="13">
        <v>21487.25</v>
      </c>
      <c r="D538" s="13">
        <v>21741.35</v>
      </c>
      <c r="E538" s="13">
        <v>21448.85</v>
      </c>
      <c r="F538" t="s">
        <v>776</v>
      </c>
      <c r="G538" s="4">
        <v>9.4999999999999998E-3</v>
      </c>
    </row>
    <row r="539" spans="1:7" x14ac:dyDescent="0.3">
      <c r="A539" s="25">
        <v>45321</v>
      </c>
      <c r="B539" s="13">
        <v>21522.1</v>
      </c>
      <c r="C539" s="13">
        <v>21775.75</v>
      </c>
      <c r="D539" s="13">
        <v>21813.05</v>
      </c>
      <c r="E539" s="13">
        <v>21501.8</v>
      </c>
      <c r="F539" t="s">
        <v>775</v>
      </c>
      <c r="G539" s="4">
        <v>-9.9000000000000008E-3</v>
      </c>
    </row>
    <row r="540" spans="1:7" x14ac:dyDescent="0.3">
      <c r="A540" s="25">
        <v>45320</v>
      </c>
      <c r="B540" s="13">
        <v>21737.599999999999</v>
      </c>
      <c r="C540" s="13">
        <v>21433.1</v>
      </c>
      <c r="D540" s="13">
        <v>21763.25</v>
      </c>
      <c r="E540" s="13">
        <v>21429.599999999999</v>
      </c>
      <c r="F540" t="s">
        <v>774</v>
      </c>
      <c r="G540" s="4">
        <v>1.7999999999999999E-2</v>
      </c>
    </row>
    <row r="541" spans="1:7" x14ac:dyDescent="0.3">
      <c r="A541" s="25">
        <v>45316</v>
      </c>
      <c r="B541" s="13">
        <v>21352.6</v>
      </c>
      <c r="C541" s="13">
        <v>21454.6</v>
      </c>
      <c r="D541" s="13">
        <v>21459</v>
      </c>
      <c r="E541" s="13">
        <v>21247.05</v>
      </c>
      <c r="F541" t="s">
        <v>773</v>
      </c>
      <c r="G541" s="4">
        <v>-4.7000000000000002E-3</v>
      </c>
    </row>
    <row r="542" spans="1:7" x14ac:dyDescent="0.3">
      <c r="A542" s="25">
        <v>45315</v>
      </c>
      <c r="B542" s="13">
        <v>21453.95</v>
      </c>
      <c r="C542" s="13">
        <v>21185.25</v>
      </c>
      <c r="D542" s="13">
        <v>21482.35</v>
      </c>
      <c r="E542" s="13">
        <v>21137.200000000001</v>
      </c>
      <c r="F542" t="s">
        <v>772</v>
      </c>
      <c r="G542" s="4">
        <v>1.01E-2</v>
      </c>
    </row>
    <row r="543" spans="1:7" x14ac:dyDescent="0.3">
      <c r="A543" s="25">
        <v>45314</v>
      </c>
      <c r="B543" s="13">
        <v>21238.799999999999</v>
      </c>
      <c r="C543" s="13">
        <v>21716.7</v>
      </c>
      <c r="D543" s="13">
        <v>21750.25</v>
      </c>
      <c r="E543" s="13">
        <v>21192.6</v>
      </c>
      <c r="F543" t="s">
        <v>771</v>
      </c>
      <c r="G543" s="4">
        <v>-1.54E-2</v>
      </c>
    </row>
    <row r="544" spans="1:7" x14ac:dyDescent="0.3">
      <c r="A544" s="25">
        <v>45311</v>
      </c>
      <c r="B544" s="13">
        <v>21571.8</v>
      </c>
      <c r="C544" s="13">
        <v>21706.15</v>
      </c>
      <c r="D544" s="13">
        <v>21720.3</v>
      </c>
      <c r="E544" s="13">
        <v>21541.8</v>
      </c>
      <c r="G544" s="4">
        <v>-2.3E-3</v>
      </c>
    </row>
    <row r="545" spans="1:7" x14ac:dyDescent="0.3">
      <c r="A545" s="25">
        <v>45310</v>
      </c>
      <c r="B545" s="13">
        <v>21622.400000000001</v>
      </c>
      <c r="C545" s="13">
        <v>21615.200000000001</v>
      </c>
      <c r="D545" s="13">
        <v>21670.6</v>
      </c>
      <c r="E545" s="13">
        <v>21575</v>
      </c>
      <c r="F545" t="s">
        <v>770</v>
      </c>
      <c r="G545" s="4">
        <v>7.4999999999999997E-3</v>
      </c>
    </row>
    <row r="546" spans="1:7" x14ac:dyDescent="0.3">
      <c r="A546" s="25">
        <v>45309</v>
      </c>
      <c r="B546" s="13">
        <v>21462.25</v>
      </c>
      <c r="C546" s="13">
        <v>21414.2</v>
      </c>
      <c r="D546" s="13">
        <v>21539.4</v>
      </c>
      <c r="E546" s="13">
        <v>21285.55</v>
      </c>
      <c r="F546" t="s">
        <v>769</v>
      </c>
      <c r="G546" s="4">
        <v>-5.1000000000000004E-3</v>
      </c>
    </row>
    <row r="547" spans="1:7" x14ac:dyDescent="0.3">
      <c r="A547" s="25">
        <v>45308</v>
      </c>
      <c r="B547" s="13">
        <v>21571.95</v>
      </c>
      <c r="C547" s="13">
        <v>21647.25</v>
      </c>
      <c r="D547" s="13">
        <v>21851.5</v>
      </c>
      <c r="E547" s="13">
        <v>21550.45</v>
      </c>
      <c r="F547" t="s">
        <v>768</v>
      </c>
      <c r="G547" s="4">
        <v>-2.0899999999999998E-2</v>
      </c>
    </row>
    <row r="548" spans="1:7" x14ac:dyDescent="0.3">
      <c r="A548" s="25">
        <v>45307</v>
      </c>
      <c r="B548" s="13">
        <v>22032.3</v>
      </c>
      <c r="C548" s="13">
        <v>22080.5</v>
      </c>
      <c r="D548" s="13">
        <v>22124.15</v>
      </c>
      <c r="E548" s="13">
        <v>21969.8</v>
      </c>
      <c r="F548" t="s">
        <v>767</v>
      </c>
      <c r="G548" s="4">
        <v>-2.8999999999999998E-3</v>
      </c>
    </row>
    <row r="549" spans="1:7" x14ac:dyDescent="0.3">
      <c r="A549" s="25">
        <v>45306</v>
      </c>
      <c r="B549" s="13">
        <v>22097.45</v>
      </c>
      <c r="C549" s="13">
        <v>22053.15</v>
      </c>
      <c r="D549" s="13">
        <v>22115.55</v>
      </c>
      <c r="E549" s="13">
        <v>21963.55</v>
      </c>
      <c r="F549" t="s">
        <v>766</v>
      </c>
      <c r="G549" s="4">
        <v>9.2999999999999992E-3</v>
      </c>
    </row>
    <row r="550" spans="1:7" x14ac:dyDescent="0.3">
      <c r="A550" s="25">
        <v>45303</v>
      </c>
      <c r="B550" s="13">
        <v>21894.55</v>
      </c>
      <c r="C550" s="13">
        <v>21773.55</v>
      </c>
      <c r="D550" s="13">
        <v>21928.25</v>
      </c>
      <c r="E550" s="13">
        <v>21715.15</v>
      </c>
      <c r="F550" t="s">
        <v>765</v>
      </c>
      <c r="G550" s="4">
        <v>1.14E-2</v>
      </c>
    </row>
    <row r="551" spans="1:7" x14ac:dyDescent="0.3">
      <c r="A551" s="25">
        <v>45302</v>
      </c>
      <c r="B551" s="13">
        <v>21647.200000000001</v>
      </c>
      <c r="C551" s="13">
        <v>21688</v>
      </c>
      <c r="D551" s="13">
        <v>21726.5</v>
      </c>
      <c r="E551" s="13">
        <v>21593.75</v>
      </c>
      <c r="F551" t="s">
        <v>764</v>
      </c>
      <c r="G551" s="4">
        <v>1.2999999999999999E-3</v>
      </c>
    </row>
    <row r="552" spans="1:7" x14ac:dyDescent="0.3">
      <c r="A552" s="25">
        <v>45301</v>
      </c>
      <c r="B552" s="13">
        <v>21618.7</v>
      </c>
      <c r="C552" s="13">
        <v>21529.3</v>
      </c>
      <c r="D552" s="13">
        <v>21641.85</v>
      </c>
      <c r="E552" s="13">
        <v>21448.65</v>
      </c>
      <c r="F552" t="s">
        <v>763</v>
      </c>
      <c r="G552" s="4">
        <v>3.3999999999999998E-3</v>
      </c>
    </row>
    <row r="553" spans="1:7" x14ac:dyDescent="0.3">
      <c r="A553" s="25">
        <v>45300</v>
      </c>
      <c r="B553" s="13">
        <v>21544.85</v>
      </c>
      <c r="C553" s="13">
        <v>21653.599999999999</v>
      </c>
      <c r="D553" s="13">
        <v>21724.45</v>
      </c>
      <c r="E553" s="13">
        <v>21517.85</v>
      </c>
      <c r="F553" t="s">
        <v>762</v>
      </c>
      <c r="G553" s="4">
        <v>1.5E-3</v>
      </c>
    </row>
    <row r="554" spans="1:7" x14ac:dyDescent="0.3">
      <c r="A554" s="25">
        <v>45299</v>
      </c>
      <c r="B554" s="13">
        <v>21513</v>
      </c>
      <c r="C554" s="13">
        <v>21747.599999999999</v>
      </c>
      <c r="D554" s="13">
        <v>21763.95</v>
      </c>
      <c r="E554" s="13">
        <v>21492.9</v>
      </c>
      <c r="F554" t="s">
        <v>761</v>
      </c>
      <c r="G554" s="4">
        <v>-9.1000000000000004E-3</v>
      </c>
    </row>
    <row r="555" spans="1:7" x14ac:dyDescent="0.3">
      <c r="A555" s="25">
        <v>45296</v>
      </c>
      <c r="B555" s="13">
        <v>21710.799999999999</v>
      </c>
      <c r="C555" s="13">
        <v>21705.75</v>
      </c>
      <c r="D555" s="13">
        <v>21749.599999999999</v>
      </c>
      <c r="E555" s="13">
        <v>21629.200000000001</v>
      </c>
      <c r="F555" t="s">
        <v>760</v>
      </c>
      <c r="G555" s="4">
        <v>2.3999999999999998E-3</v>
      </c>
    </row>
    <row r="556" spans="1:7" x14ac:dyDescent="0.3">
      <c r="A556" s="25">
        <v>45295</v>
      </c>
      <c r="B556" s="13">
        <v>21658.6</v>
      </c>
      <c r="C556" s="13">
        <v>21605.8</v>
      </c>
      <c r="D556" s="13">
        <v>21685.65</v>
      </c>
      <c r="E556" s="13">
        <v>21564.55</v>
      </c>
      <c r="F556" t="s">
        <v>759</v>
      </c>
      <c r="G556" s="4">
        <v>6.6E-3</v>
      </c>
    </row>
    <row r="557" spans="1:7" x14ac:dyDescent="0.3">
      <c r="A557" s="25">
        <v>45294</v>
      </c>
      <c r="B557" s="13">
        <v>21517.35</v>
      </c>
      <c r="C557" s="13">
        <v>21661.1</v>
      </c>
      <c r="D557" s="13">
        <v>21677</v>
      </c>
      <c r="E557" s="13">
        <v>21500.35</v>
      </c>
      <c r="F557" t="s">
        <v>758</v>
      </c>
      <c r="G557" s="4">
        <v>-6.8999999999999999E-3</v>
      </c>
    </row>
    <row r="558" spans="1:7" x14ac:dyDescent="0.3">
      <c r="A558" s="25">
        <v>45293</v>
      </c>
      <c r="B558" s="13">
        <v>21665.8</v>
      </c>
      <c r="C558" s="13">
        <v>21751.35</v>
      </c>
      <c r="D558" s="13">
        <v>21755.599999999999</v>
      </c>
      <c r="E558" s="13">
        <v>21555.65</v>
      </c>
      <c r="F558" t="s">
        <v>757</v>
      </c>
      <c r="G558" s="4">
        <v>-3.5000000000000001E-3</v>
      </c>
    </row>
    <row r="559" spans="1:7" x14ac:dyDescent="0.3">
      <c r="A559" s="25">
        <v>45292</v>
      </c>
      <c r="B559" s="13">
        <v>21741.9</v>
      </c>
      <c r="C559" s="13">
        <v>21727.75</v>
      </c>
      <c r="D559" s="13">
        <v>21834.35</v>
      </c>
      <c r="E559" s="13">
        <v>21680.85</v>
      </c>
      <c r="F559" t="s">
        <v>756</v>
      </c>
      <c r="G559" s="4">
        <v>5.0000000000000001E-4</v>
      </c>
    </row>
    <row r="560" spans="1:7" x14ac:dyDescent="0.3">
      <c r="A560" s="25">
        <v>45289</v>
      </c>
      <c r="B560" s="13">
        <v>21731.4</v>
      </c>
      <c r="C560" s="13">
        <v>21737.65</v>
      </c>
      <c r="D560" s="13">
        <v>21770.3</v>
      </c>
      <c r="E560" s="13">
        <v>21676.9</v>
      </c>
      <c r="F560" t="s">
        <v>619</v>
      </c>
      <c r="G560" s="4">
        <v>-2.2000000000000001E-3</v>
      </c>
    </row>
    <row r="561" spans="1:7" x14ac:dyDescent="0.3">
      <c r="A561" s="25">
        <v>45288</v>
      </c>
      <c r="B561" s="13">
        <v>21778.7</v>
      </c>
      <c r="C561" s="13">
        <v>21715</v>
      </c>
      <c r="D561" s="13">
        <v>21801.45</v>
      </c>
      <c r="E561" s="13">
        <v>21678</v>
      </c>
      <c r="F561" t="s">
        <v>755</v>
      </c>
      <c r="G561" s="4">
        <v>5.7000000000000002E-3</v>
      </c>
    </row>
    <row r="562" spans="1:7" x14ac:dyDescent="0.3">
      <c r="A562" s="25">
        <v>45287</v>
      </c>
      <c r="B562" s="13">
        <v>21654.75</v>
      </c>
      <c r="C562" s="13">
        <v>21497.65</v>
      </c>
      <c r="D562" s="13">
        <v>21675.75</v>
      </c>
      <c r="E562" s="13">
        <v>21495.8</v>
      </c>
      <c r="F562" t="s">
        <v>754</v>
      </c>
      <c r="G562" s="4">
        <v>0.01</v>
      </c>
    </row>
    <row r="563" spans="1:7" x14ac:dyDescent="0.3">
      <c r="A563" s="25">
        <v>45286</v>
      </c>
      <c r="B563" s="13">
        <v>21441.35</v>
      </c>
      <c r="C563" s="13">
        <v>21365.200000000001</v>
      </c>
      <c r="D563" s="13">
        <v>21477.15</v>
      </c>
      <c r="E563" s="13">
        <v>21329.45</v>
      </c>
      <c r="F563" t="s">
        <v>753</v>
      </c>
      <c r="G563" s="4">
        <v>4.3E-3</v>
      </c>
    </row>
    <row r="564" spans="1:7" x14ac:dyDescent="0.3">
      <c r="A564" s="25">
        <v>45282</v>
      </c>
      <c r="B564" s="13">
        <v>21349.4</v>
      </c>
      <c r="C564" s="13">
        <v>21295.85</v>
      </c>
      <c r="D564" s="13">
        <v>21390.5</v>
      </c>
      <c r="E564" s="13">
        <v>21232.45</v>
      </c>
      <c r="F564" t="s">
        <v>752</v>
      </c>
      <c r="G564" s="4">
        <v>4.4000000000000003E-3</v>
      </c>
    </row>
    <row r="565" spans="1:7" x14ac:dyDescent="0.3">
      <c r="A565" s="25">
        <v>45281</v>
      </c>
      <c r="B565" s="13">
        <v>21255.05</v>
      </c>
      <c r="C565" s="13">
        <v>21033.95</v>
      </c>
      <c r="D565" s="13">
        <v>21288.35</v>
      </c>
      <c r="E565" s="13">
        <v>20976.799999999999</v>
      </c>
      <c r="F565" t="s">
        <v>751</v>
      </c>
      <c r="G565" s="4">
        <v>5.0000000000000001E-3</v>
      </c>
    </row>
    <row r="566" spans="1:7" x14ac:dyDescent="0.3">
      <c r="A566" s="25">
        <v>45280</v>
      </c>
      <c r="B566" s="13">
        <v>21150.15</v>
      </c>
      <c r="C566" s="13">
        <v>21543.5</v>
      </c>
      <c r="D566" s="13">
        <v>21593</v>
      </c>
      <c r="E566" s="13">
        <v>21087.35</v>
      </c>
      <c r="F566" t="s">
        <v>750</v>
      </c>
      <c r="G566" s="4">
        <v>-1.41E-2</v>
      </c>
    </row>
    <row r="567" spans="1:7" x14ac:dyDescent="0.3">
      <c r="A567" s="25">
        <v>45279</v>
      </c>
      <c r="B567" s="13">
        <v>21453.1</v>
      </c>
      <c r="C567" s="13">
        <v>21477.65</v>
      </c>
      <c r="D567" s="13">
        <v>21505.05</v>
      </c>
      <c r="E567" s="13">
        <v>21337.75</v>
      </c>
      <c r="F567" t="s">
        <v>749</v>
      </c>
      <c r="G567" s="4">
        <v>1.6000000000000001E-3</v>
      </c>
    </row>
    <row r="568" spans="1:7" x14ac:dyDescent="0.3">
      <c r="A568" s="25">
        <v>45278</v>
      </c>
      <c r="B568" s="13">
        <v>21418.65</v>
      </c>
      <c r="C568" s="13">
        <v>21434.799999999999</v>
      </c>
      <c r="D568" s="13">
        <v>21482.799999999999</v>
      </c>
      <c r="E568" s="13">
        <v>21365.35</v>
      </c>
      <c r="F568" t="s">
        <v>748</v>
      </c>
      <c r="G568" s="4">
        <v>-1.8E-3</v>
      </c>
    </row>
    <row r="569" spans="1:7" x14ac:dyDescent="0.3">
      <c r="A569" s="25">
        <v>45275</v>
      </c>
      <c r="B569" s="13">
        <v>21456.65</v>
      </c>
      <c r="C569" s="13">
        <v>21287.45</v>
      </c>
      <c r="D569" s="13">
        <v>21492.3</v>
      </c>
      <c r="E569" s="13">
        <v>21235.3</v>
      </c>
      <c r="F569" t="s">
        <v>747</v>
      </c>
      <c r="G569" s="4">
        <v>1.29E-2</v>
      </c>
    </row>
    <row r="570" spans="1:7" x14ac:dyDescent="0.3">
      <c r="A570" s="25">
        <v>45274</v>
      </c>
      <c r="B570" s="13">
        <v>21182.7</v>
      </c>
      <c r="C570" s="13">
        <v>21110.400000000001</v>
      </c>
      <c r="D570" s="13">
        <v>21210.9</v>
      </c>
      <c r="E570" s="13">
        <v>21074.45</v>
      </c>
      <c r="F570" t="s">
        <v>746</v>
      </c>
      <c r="G570" s="4">
        <v>1.23E-2</v>
      </c>
    </row>
    <row r="571" spans="1:7" x14ac:dyDescent="0.3">
      <c r="A571" s="25">
        <v>45273</v>
      </c>
      <c r="B571" s="13">
        <v>20926.349999999999</v>
      </c>
      <c r="C571" s="13">
        <v>20929.75</v>
      </c>
      <c r="D571" s="13">
        <v>20950</v>
      </c>
      <c r="E571" s="13">
        <v>20769.5</v>
      </c>
      <c r="F571" t="s">
        <v>745</v>
      </c>
      <c r="G571" s="4">
        <v>1E-3</v>
      </c>
    </row>
    <row r="572" spans="1:7" x14ac:dyDescent="0.3">
      <c r="A572" s="25">
        <v>45272</v>
      </c>
      <c r="B572" s="13">
        <v>20906.400000000001</v>
      </c>
      <c r="C572" s="13">
        <v>21018.55</v>
      </c>
      <c r="D572" s="13">
        <v>21037.9</v>
      </c>
      <c r="E572" s="13">
        <v>20867.150000000001</v>
      </c>
      <c r="F572" t="s">
        <v>744</v>
      </c>
      <c r="G572" s="4">
        <v>-4.3E-3</v>
      </c>
    </row>
    <row r="573" spans="1:7" x14ac:dyDescent="0.3">
      <c r="A573" s="25">
        <v>45271</v>
      </c>
      <c r="B573" s="13">
        <v>20997.1</v>
      </c>
      <c r="C573" s="13">
        <v>20965.3</v>
      </c>
      <c r="D573" s="13">
        <v>21026.1</v>
      </c>
      <c r="E573" s="13">
        <v>20923.7</v>
      </c>
      <c r="F573" t="s">
        <v>743</v>
      </c>
      <c r="G573" s="4">
        <v>1.2999999999999999E-3</v>
      </c>
    </row>
    <row r="574" spans="1:7" x14ac:dyDescent="0.3">
      <c r="A574" s="25">
        <v>45268</v>
      </c>
      <c r="B574" s="13">
        <v>20969.400000000001</v>
      </c>
      <c r="C574" s="13">
        <v>20934.099999999999</v>
      </c>
      <c r="D574" s="13">
        <v>21006.1</v>
      </c>
      <c r="E574" s="13">
        <v>20862.7</v>
      </c>
      <c r="F574" t="s">
        <v>742</v>
      </c>
      <c r="G574" s="4">
        <v>3.3E-3</v>
      </c>
    </row>
    <row r="575" spans="1:7" x14ac:dyDescent="0.3">
      <c r="A575" s="25">
        <v>45267</v>
      </c>
      <c r="B575" s="13">
        <v>20901.150000000001</v>
      </c>
      <c r="C575" s="13">
        <v>20932.400000000001</v>
      </c>
      <c r="D575" s="13">
        <v>20941.25</v>
      </c>
      <c r="E575" s="13">
        <v>20850.8</v>
      </c>
      <c r="F575" t="s">
        <v>741</v>
      </c>
      <c r="G575" s="4">
        <v>-1.6999999999999999E-3</v>
      </c>
    </row>
    <row r="576" spans="1:7" x14ac:dyDescent="0.3">
      <c r="A576" s="25">
        <v>45266</v>
      </c>
      <c r="B576" s="13">
        <v>20937.7</v>
      </c>
      <c r="C576" s="13">
        <v>20950.75</v>
      </c>
      <c r="D576" s="13">
        <v>20961.95</v>
      </c>
      <c r="E576" s="13">
        <v>20852.150000000001</v>
      </c>
      <c r="F576" t="s">
        <v>740</v>
      </c>
      <c r="G576" s="4">
        <v>4.0000000000000001E-3</v>
      </c>
    </row>
    <row r="577" spans="1:7" x14ac:dyDescent="0.3">
      <c r="A577" s="25">
        <v>45265</v>
      </c>
      <c r="B577" s="13">
        <v>20855.099999999999</v>
      </c>
      <c r="C577" s="13">
        <v>20808.900000000001</v>
      </c>
      <c r="D577" s="13">
        <v>20864.05</v>
      </c>
      <c r="E577" s="13">
        <v>20711.150000000001</v>
      </c>
      <c r="F577" t="s">
        <v>739</v>
      </c>
      <c r="G577" s="4">
        <v>8.0999999999999996E-3</v>
      </c>
    </row>
    <row r="578" spans="1:7" x14ac:dyDescent="0.3">
      <c r="A578" s="25">
        <v>45264</v>
      </c>
      <c r="B578" s="13">
        <v>20686.8</v>
      </c>
      <c r="C578" s="13">
        <v>20601.95</v>
      </c>
      <c r="D578" s="13">
        <v>20702.650000000001</v>
      </c>
      <c r="E578" s="13">
        <v>20507.75</v>
      </c>
      <c r="F578" t="s">
        <v>738</v>
      </c>
      <c r="G578" s="4">
        <v>2.07E-2</v>
      </c>
    </row>
    <row r="579" spans="1:7" x14ac:dyDescent="0.3">
      <c r="A579" s="25">
        <v>45261</v>
      </c>
      <c r="B579" s="13">
        <v>20267.900000000001</v>
      </c>
      <c r="C579" s="13">
        <v>20194.099999999999</v>
      </c>
      <c r="D579" s="13">
        <v>20291.55</v>
      </c>
      <c r="E579" s="13">
        <v>20183.7</v>
      </c>
      <c r="F579" t="s">
        <v>737</v>
      </c>
      <c r="G579" s="4">
        <v>6.7000000000000002E-3</v>
      </c>
    </row>
    <row r="580" spans="1:7" x14ac:dyDescent="0.3">
      <c r="A580" s="25">
        <v>45260</v>
      </c>
      <c r="B580" s="13">
        <v>20133.150000000001</v>
      </c>
      <c r="C580" s="13">
        <v>20108.5</v>
      </c>
      <c r="D580" s="13">
        <v>20158.7</v>
      </c>
      <c r="E580" s="13">
        <v>20015.849999999999</v>
      </c>
      <c r="F580" t="s">
        <v>736</v>
      </c>
      <c r="G580" s="4">
        <v>1.8E-3</v>
      </c>
    </row>
    <row r="581" spans="1:7" x14ac:dyDescent="0.3">
      <c r="A581" s="25">
        <v>45259</v>
      </c>
      <c r="B581" s="13">
        <v>20096.599999999999</v>
      </c>
      <c r="C581" s="13">
        <v>19976.55</v>
      </c>
      <c r="D581" s="13">
        <v>20104.650000000001</v>
      </c>
      <c r="E581" s="13">
        <v>19956.3</v>
      </c>
      <c r="F581" t="s">
        <v>735</v>
      </c>
      <c r="G581" s="4">
        <v>1.04E-2</v>
      </c>
    </row>
    <row r="582" spans="1:7" x14ac:dyDescent="0.3">
      <c r="A582" s="25">
        <v>45258</v>
      </c>
      <c r="B582" s="13">
        <v>19889.7</v>
      </c>
      <c r="C582" s="13">
        <v>19844.650000000001</v>
      </c>
      <c r="D582" s="13">
        <v>19916.849999999999</v>
      </c>
      <c r="E582" s="13">
        <v>19800</v>
      </c>
      <c r="F582" t="s">
        <v>734</v>
      </c>
      <c r="G582" s="4">
        <v>4.7999999999999996E-3</v>
      </c>
    </row>
    <row r="583" spans="1:7" x14ac:dyDescent="0.3">
      <c r="A583" s="25">
        <v>45254</v>
      </c>
      <c r="B583" s="13">
        <v>19794.7</v>
      </c>
      <c r="C583" s="13">
        <v>19809.599999999999</v>
      </c>
      <c r="D583" s="13">
        <v>19832.849999999999</v>
      </c>
      <c r="E583" s="13">
        <v>19768.849999999999</v>
      </c>
      <c r="F583" t="s">
        <v>733</v>
      </c>
      <c r="G583" s="4">
        <v>-4.0000000000000002E-4</v>
      </c>
    </row>
    <row r="584" spans="1:7" x14ac:dyDescent="0.3">
      <c r="A584" s="25">
        <v>45253</v>
      </c>
      <c r="B584" s="13">
        <v>19802</v>
      </c>
      <c r="C584" s="13">
        <v>19828.45</v>
      </c>
      <c r="D584" s="13">
        <v>19875.150000000001</v>
      </c>
      <c r="E584" s="13">
        <v>19786.75</v>
      </c>
      <c r="F584" t="s">
        <v>732</v>
      </c>
      <c r="G584" s="4">
        <v>-5.0000000000000001E-4</v>
      </c>
    </row>
    <row r="585" spans="1:7" x14ac:dyDescent="0.3">
      <c r="A585" s="25">
        <v>45252</v>
      </c>
      <c r="B585" s="13">
        <v>19811.849999999999</v>
      </c>
      <c r="C585" s="13">
        <v>19784</v>
      </c>
      <c r="D585" s="13">
        <v>19825.55</v>
      </c>
      <c r="E585" s="13">
        <v>19703.849999999999</v>
      </c>
      <c r="F585" t="s">
        <v>731</v>
      </c>
      <c r="G585" s="4">
        <v>1.4E-3</v>
      </c>
    </row>
    <row r="586" spans="1:7" x14ac:dyDescent="0.3">
      <c r="A586" s="25">
        <v>45251</v>
      </c>
      <c r="B586" s="13">
        <v>19783.400000000001</v>
      </c>
      <c r="C586" s="13">
        <v>19770.900000000001</v>
      </c>
      <c r="D586" s="13">
        <v>19829.099999999999</v>
      </c>
      <c r="E586" s="13">
        <v>19754.05</v>
      </c>
      <c r="F586" t="s">
        <v>722</v>
      </c>
      <c r="G586" s="4">
        <v>4.4999999999999997E-3</v>
      </c>
    </row>
    <row r="587" spans="1:7" x14ac:dyDescent="0.3">
      <c r="A587" s="25">
        <v>45250</v>
      </c>
      <c r="B587" s="13">
        <v>19694</v>
      </c>
      <c r="C587" s="13">
        <v>19731.150000000001</v>
      </c>
      <c r="D587" s="13">
        <v>19756.45</v>
      </c>
      <c r="E587" s="13">
        <v>19670.5</v>
      </c>
      <c r="F587" t="s">
        <v>730</v>
      </c>
      <c r="G587" s="4">
        <v>-1.9E-3</v>
      </c>
    </row>
    <row r="588" spans="1:7" x14ac:dyDescent="0.3">
      <c r="A588" s="25">
        <v>45247</v>
      </c>
      <c r="B588" s="13">
        <v>19731.8</v>
      </c>
      <c r="C588" s="13">
        <v>19674.75</v>
      </c>
      <c r="D588" s="13">
        <v>19806</v>
      </c>
      <c r="E588" s="13">
        <v>19667.45</v>
      </c>
      <c r="F588" t="s">
        <v>729</v>
      </c>
      <c r="G588" s="4">
        <v>-1.6999999999999999E-3</v>
      </c>
    </row>
    <row r="589" spans="1:7" x14ac:dyDescent="0.3">
      <c r="A589" s="25">
        <v>45246</v>
      </c>
      <c r="B589" s="13">
        <v>19765.2</v>
      </c>
      <c r="C589" s="13">
        <v>19674.7</v>
      </c>
      <c r="D589" s="13">
        <v>19875.25</v>
      </c>
      <c r="E589" s="13">
        <v>19627</v>
      </c>
      <c r="F589" t="s">
        <v>728</v>
      </c>
      <c r="G589" s="4">
        <v>4.5999999999999999E-3</v>
      </c>
    </row>
    <row r="590" spans="1:7" x14ac:dyDescent="0.3">
      <c r="A590" s="25">
        <v>45245</v>
      </c>
      <c r="B590" s="13">
        <v>19675.45</v>
      </c>
      <c r="C590" s="13">
        <v>19651.400000000001</v>
      </c>
      <c r="D590" s="13">
        <v>19693.2</v>
      </c>
      <c r="E590" s="13">
        <v>19579.650000000001</v>
      </c>
      <c r="F590" t="s">
        <v>727</v>
      </c>
      <c r="G590" s="4">
        <v>1.1900000000000001E-2</v>
      </c>
    </row>
    <row r="591" spans="1:7" x14ac:dyDescent="0.3">
      <c r="A591" s="25">
        <v>45243</v>
      </c>
      <c r="B591" s="13">
        <v>19443.55</v>
      </c>
      <c r="C591" s="13">
        <v>19486.75</v>
      </c>
      <c r="D591" s="13">
        <v>19494.400000000001</v>
      </c>
      <c r="E591" s="13">
        <v>19414.75</v>
      </c>
      <c r="F591" t="s">
        <v>726</v>
      </c>
      <c r="G591" s="4">
        <v>-4.1999999999999997E-3</v>
      </c>
    </row>
    <row r="592" spans="1:7" x14ac:dyDescent="0.3">
      <c r="A592" s="25">
        <v>45242</v>
      </c>
      <c r="B592" s="13">
        <v>19525.55</v>
      </c>
      <c r="C592" s="13">
        <v>19547.25</v>
      </c>
      <c r="D592" s="13">
        <v>19547.25</v>
      </c>
      <c r="E592" s="13">
        <v>19510.25</v>
      </c>
      <c r="F592" t="s">
        <v>725</v>
      </c>
      <c r="G592" s="4">
        <v>5.1999999999999998E-3</v>
      </c>
    </row>
    <row r="593" spans="1:7" x14ac:dyDescent="0.3">
      <c r="A593" s="25">
        <v>45240</v>
      </c>
      <c r="B593" s="13">
        <v>19425.349999999999</v>
      </c>
      <c r="C593" s="13">
        <v>19351.849999999999</v>
      </c>
      <c r="D593" s="13">
        <v>19451.3</v>
      </c>
      <c r="E593" s="13">
        <v>19329.45</v>
      </c>
      <c r="F593" t="s">
        <v>724</v>
      </c>
      <c r="G593" s="4">
        <v>1.5E-3</v>
      </c>
    </row>
    <row r="594" spans="1:7" x14ac:dyDescent="0.3">
      <c r="A594" s="25">
        <v>45239</v>
      </c>
      <c r="B594" s="13">
        <v>19395.3</v>
      </c>
      <c r="C594" s="13">
        <v>19457.400000000001</v>
      </c>
      <c r="D594" s="13">
        <v>19463.900000000001</v>
      </c>
      <c r="E594" s="13">
        <v>19378.349999999999</v>
      </c>
      <c r="F594" t="s">
        <v>723</v>
      </c>
      <c r="G594" s="4">
        <v>-2.5000000000000001E-3</v>
      </c>
    </row>
    <row r="595" spans="1:7" x14ac:dyDescent="0.3">
      <c r="A595" s="25">
        <v>45238</v>
      </c>
      <c r="B595" s="13">
        <v>19443.5</v>
      </c>
      <c r="C595" s="13">
        <v>19449.599999999999</v>
      </c>
      <c r="D595" s="13">
        <v>19464.400000000001</v>
      </c>
      <c r="E595" s="13">
        <v>19401.5</v>
      </c>
      <c r="F595" t="s">
        <v>722</v>
      </c>
      <c r="G595" s="4">
        <v>1.9E-3</v>
      </c>
    </row>
    <row r="596" spans="1:7" x14ac:dyDescent="0.3">
      <c r="A596" s="25">
        <v>45237</v>
      </c>
      <c r="B596" s="13">
        <v>19406.7</v>
      </c>
      <c r="C596" s="13">
        <v>19404.05</v>
      </c>
      <c r="D596" s="13">
        <v>19423.5</v>
      </c>
      <c r="E596" s="13">
        <v>19329.099999999999</v>
      </c>
      <c r="F596" t="s">
        <v>721</v>
      </c>
      <c r="G596" s="4">
        <v>-2.9999999999999997E-4</v>
      </c>
    </row>
    <row r="597" spans="1:7" x14ac:dyDescent="0.3">
      <c r="A597" s="25">
        <v>45236</v>
      </c>
      <c r="B597" s="13">
        <v>19411.75</v>
      </c>
      <c r="C597" s="13">
        <v>19345.849999999999</v>
      </c>
      <c r="D597" s="13">
        <v>19423</v>
      </c>
      <c r="E597" s="13">
        <v>19309.7</v>
      </c>
      <c r="F597" t="s">
        <v>720</v>
      </c>
      <c r="G597" s="4">
        <v>9.4000000000000004E-3</v>
      </c>
    </row>
    <row r="598" spans="1:7" x14ac:dyDescent="0.3">
      <c r="A598" s="25">
        <v>45233</v>
      </c>
      <c r="B598" s="13">
        <v>19230.599999999999</v>
      </c>
      <c r="C598" s="13">
        <v>19241</v>
      </c>
      <c r="D598" s="13">
        <v>19276.25</v>
      </c>
      <c r="E598" s="13">
        <v>19210.900000000001</v>
      </c>
      <c r="F598" t="s">
        <v>719</v>
      </c>
      <c r="G598" s="4">
        <v>5.1000000000000004E-3</v>
      </c>
    </row>
    <row r="599" spans="1:7" x14ac:dyDescent="0.3">
      <c r="A599" s="25">
        <v>45232</v>
      </c>
      <c r="B599" s="13">
        <v>19133.25</v>
      </c>
      <c r="C599" s="13">
        <v>19120</v>
      </c>
      <c r="D599" s="13">
        <v>19175.25</v>
      </c>
      <c r="E599" s="13">
        <v>19064.150000000001</v>
      </c>
      <c r="F599" t="s">
        <v>718</v>
      </c>
      <c r="G599" s="4">
        <v>7.6E-3</v>
      </c>
    </row>
    <row r="600" spans="1:7" x14ac:dyDescent="0.3">
      <c r="A600" s="25">
        <v>45231</v>
      </c>
      <c r="B600" s="13">
        <v>18989.150000000001</v>
      </c>
      <c r="C600" s="13">
        <v>19064.05</v>
      </c>
      <c r="D600" s="13">
        <v>19096.05</v>
      </c>
      <c r="E600" s="13">
        <v>18973.7</v>
      </c>
      <c r="F600" t="s">
        <v>717</v>
      </c>
      <c r="G600" s="4">
        <v>-4.7000000000000002E-3</v>
      </c>
    </row>
    <row r="601" spans="1:7" x14ac:dyDescent="0.3">
      <c r="A601" s="25">
        <v>45230</v>
      </c>
      <c r="B601" s="13">
        <v>19079.599999999999</v>
      </c>
      <c r="C601" s="13">
        <v>19232.95</v>
      </c>
      <c r="D601" s="13">
        <v>19233.7</v>
      </c>
      <c r="E601" s="13">
        <v>19056.45</v>
      </c>
      <c r="F601" t="s">
        <v>716</v>
      </c>
      <c r="G601" s="4">
        <v>-3.2000000000000002E-3</v>
      </c>
    </row>
    <row r="602" spans="1:7" x14ac:dyDescent="0.3">
      <c r="A602" s="25">
        <v>45229</v>
      </c>
      <c r="B602" s="13">
        <v>19140.900000000001</v>
      </c>
      <c r="C602" s="13">
        <v>19053.400000000001</v>
      </c>
      <c r="D602" s="13">
        <v>19158.5</v>
      </c>
      <c r="E602" s="13">
        <v>18940</v>
      </c>
      <c r="F602" t="s">
        <v>715</v>
      </c>
      <c r="G602" s="4">
        <v>4.8999999999999998E-3</v>
      </c>
    </row>
    <row r="603" spans="1:7" x14ac:dyDescent="0.3">
      <c r="A603" s="25">
        <v>45226</v>
      </c>
      <c r="B603" s="13">
        <v>19047.25</v>
      </c>
      <c r="C603" s="13">
        <v>18928.75</v>
      </c>
      <c r="D603" s="13">
        <v>19076.150000000001</v>
      </c>
      <c r="E603" s="13">
        <v>18926.650000000001</v>
      </c>
      <c r="F603" t="s">
        <v>714</v>
      </c>
      <c r="G603" s="4">
        <v>1.01E-2</v>
      </c>
    </row>
    <row r="604" spans="1:7" x14ac:dyDescent="0.3">
      <c r="A604" s="25">
        <v>45225</v>
      </c>
      <c r="B604" s="13">
        <v>18857.25</v>
      </c>
      <c r="C604" s="13">
        <v>19027.25</v>
      </c>
      <c r="D604" s="13">
        <v>19041.7</v>
      </c>
      <c r="E604" s="13">
        <v>18837.849999999999</v>
      </c>
      <c r="F604" t="s">
        <v>713</v>
      </c>
      <c r="G604" s="4">
        <v>-1.3899999999999999E-2</v>
      </c>
    </row>
    <row r="605" spans="1:7" x14ac:dyDescent="0.3">
      <c r="A605" s="25">
        <v>45224</v>
      </c>
      <c r="B605" s="13">
        <v>19122.150000000001</v>
      </c>
      <c r="C605" s="13">
        <v>19286.45</v>
      </c>
      <c r="D605" s="13">
        <v>19347.3</v>
      </c>
      <c r="E605" s="13">
        <v>19074.150000000001</v>
      </c>
      <c r="F605" t="s">
        <v>712</v>
      </c>
      <c r="G605" s="4">
        <v>-8.3000000000000001E-3</v>
      </c>
    </row>
    <row r="606" spans="1:7" x14ac:dyDescent="0.3">
      <c r="A606" s="25">
        <v>45222</v>
      </c>
      <c r="B606" s="13">
        <v>19281.75</v>
      </c>
      <c r="C606" s="13">
        <v>19521.599999999999</v>
      </c>
      <c r="D606" s="13">
        <v>19556.849999999999</v>
      </c>
      <c r="E606" s="13">
        <v>19257.849999999999</v>
      </c>
      <c r="F606" t="s">
        <v>711</v>
      </c>
      <c r="G606" s="4">
        <v>-1.34E-2</v>
      </c>
    </row>
    <row r="607" spans="1:7" x14ac:dyDescent="0.3">
      <c r="A607" s="25">
        <v>45219</v>
      </c>
      <c r="B607" s="13">
        <v>19542.650000000001</v>
      </c>
      <c r="C607" s="13">
        <v>19542.150000000001</v>
      </c>
      <c r="D607" s="13">
        <v>19593.8</v>
      </c>
      <c r="E607" s="13">
        <v>19518.7</v>
      </c>
      <c r="F607" t="s">
        <v>710</v>
      </c>
      <c r="G607" s="4">
        <v>-4.1999999999999997E-3</v>
      </c>
    </row>
    <row r="608" spans="1:7" x14ac:dyDescent="0.3">
      <c r="A608" s="25">
        <v>45218</v>
      </c>
      <c r="B608" s="13">
        <v>19624.7</v>
      </c>
      <c r="C608" s="13">
        <v>19545.2</v>
      </c>
      <c r="D608" s="13">
        <v>19681.8</v>
      </c>
      <c r="E608" s="13">
        <v>19512.349999999999</v>
      </c>
      <c r="F608" t="s">
        <v>439</v>
      </c>
      <c r="G608" s="4">
        <v>-2.3999999999999998E-3</v>
      </c>
    </row>
    <row r="609" spans="1:7" x14ac:dyDescent="0.3">
      <c r="A609" s="25">
        <v>45217</v>
      </c>
      <c r="B609" s="13">
        <v>19671.099999999999</v>
      </c>
      <c r="C609" s="13">
        <v>19820.45</v>
      </c>
      <c r="D609" s="13">
        <v>19840.95</v>
      </c>
      <c r="E609" s="13">
        <v>19659.95</v>
      </c>
      <c r="F609" t="s">
        <v>709</v>
      </c>
      <c r="G609" s="4">
        <v>-7.1000000000000004E-3</v>
      </c>
    </row>
    <row r="610" spans="1:7" x14ac:dyDescent="0.3">
      <c r="A610" s="25">
        <v>45216</v>
      </c>
      <c r="B610" s="13">
        <v>19811.5</v>
      </c>
      <c r="C610" s="13">
        <v>19843.2</v>
      </c>
      <c r="D610" s="13">
        <v>19849.75</v>
      </c>
      <c r="E610" s="13">
        <v>19775.650000000001</v>
      </c>
      <c r="F610" t="s">
        <v>708</v>
      </c>
      <c r="G610" s="4">
        <v>4.0000000000000001E-3</v>
      </c>
    </row>
    <row r="611" spans="1:7" x14ac:dyDescent="0.3">
      <c r="A611" s="25">
        <v>45215</v>
      </c>
      <c r="B611" s="13">
        <v>19731.75</v>
      </c>
      <c r="C611" s="13">
        <v>19737.25</v>
      </c>
      <c r="D611" s="13">
        <v>19781.3</v>
      </c>
      <c r="E611" s="13">
        <v>19691.849999999999</v>
      </c>
      <c r="F611" t="s">
        <v>707</v>
      </c>
      <c r="G611" s="4">
        <v>-1E-3</v>
      </c>
    </row>
    <row r="612" spans="1:7" x14ac:dyDescent="0.3">
      <c r="A612" s="25">
        <v>45212</v>
      </c>
      <c r="B612" s="13">
        <v>19751.05</v>
      </c>
      <c r="C612" s="13">
        <v>19654.55</v>
      </c>
      <c r="D612" s="13">
        <v>19805.400000000001</v>
      </c>
      <c r="E612" s="13">
        <v>19635.3</v>
      </c>
      <c r="F612" t="s">
        <v>706</v>
      </c>
      <c r="G612" s="4">
        <v>-2.2000000000000001E-3</v>
      </c>
    </row>
    <row r="613" spans="1:7" x14ac:dyDescent="0.3">
      <c r="A613" s="25">
        <v>45211</v>
      </c>
      <c r="B613" s="13">
        <v>19794</v>
      </c>
      <c r="C613" s="13">
        <v>19822.7</v>
      </c>
      <c r="D613" s="13">
        <v>19843.3</v>
      </c>
      <c r="E613" s="13">
        <v>19772.650000000001</v>
      </c>
      <c r="F613" t="s">
        <v>705</v>
      </c>
      <c r="G613" s="4">
        <v>-8.9999999999999998E-4</v>
      </c>
    </row>
    <row r="614" spans="1:7" x14ac:dyDescent="0.3">
      <c r="A614" s="25">
        <v>45210</v>
      </c>
      <c r="B614" s="13">
        <v>19811.349999999999</v>
      </c>
      <c r="C614" s="13">
        <v>19767</v>
      </c>
      <c r="D614" s="13">
        <v>19839.2</v>
      </c>
      <c r="E614" s="13">
        <v>19756.95</v>
      </c>
      <c r="F614" t="s">
        <v>704</v>
      </c>
      <c r="G614" s="4">
        <v>6.1999999999999998E-3</v>
      </c>
    </row>
    <row r="615" spans="1:7" x14ac:dyDescent="0.3">
      <c r="A615" s="25">
        <v>45209</v>
      </c>
      <c r="B615" s="13">
        <v>19689.849999999999</v>
      </c>
      <c r="C615" s="13">
        <v>19565.599999999999</v>
      </c>
      <c r="D615" s="13">
        <v>19717.8</v>
      </c>
      <c r="E615" s="13">
        <v>19565.45</v>
      </c>
      <c r="F615" t="s">
        <v>703</v>
      </c>
      <c r="G615" s="4">
        <v>9.1000000000000004E-3</v>
      </c>
    </row>
    <row r="616" spans="1:7" x14ac:dyDescent="0.3">
      <c r="A616" s="25">
        <v>45208</v>
      </c>
      <c r="B616" s="13">
        <v>19512.349999999999</v>
      </c>
      <c r="C616" s="13">
        <v>19539.45</v>
      </c>
      <c r="D616" s="13">
        <v>19588.95</v>
      </c>
      <c r="E616" s="13">
        <v>19480.5</v>
      </c>
      <c r="F616" t="s">
        <v>702</v>
      </c>
      <c r="G616" s="4">
        <v>-7.1999999999999998E-3</v>
      </c>
    </row>
    <row r="617" spans="1:7" x14ac:dyDescent="0.3">
      <c r="A617" s="25">
        <v>45205</v>
      </c>
      <c r="B617" s="13">
        <v>19653.5</v>
      </c>
      <c r="C617" s="13">
        <v>19621.2</v>
      </c>
      <c r="D617" s="13">
        <v>19675.75</v>
      </c>
      <c r="E617" s="13">
        <v>19589.400000000001</v>
      </c>
      <c r="F617" t="s">
        <v>701</v>
      </c>
      <c r="G617" s="4">
        <v>5.4999999999999997E-3</v>
      </c>
    </row>
    <row r="618" spans="1:7" x14ac:dyDescent="0.3">
      <c r="A618" s="25">
        <v>45204</v>
      </c>
      <c r="B618" s="13">
        <v>19545.75</v>
      </c>
      <c r="C618" s="13">
        <v>19521.849999999999</v>
      </c>
      <c r="D618" s="13">
        <v>19576.95</v>
      </c>
      <c r="E618" s="13">
        <v>19487.3</v>
      </c>
      <c r="F618" t="s">
        <v>700</v>
      </c>
      <c r="G618" s="4">
        <v>5.5999999999999999E-3</v>
      </c>
    </row>
    <row r="619" spans="1:7" x14ac:dyDescent="0.3">
      <c r="A619" s="25">
        <v>45203</v>
      </c>
      <c r="B619" s="13">
        <v>19436.099999999999</v>
      </c>
      <c r="C619" s="13">
        <v>19446.3</v>
      </c>
      <c r="D619" s="13">
        <v>19457.8</v>
      </c>
      <c r="E619" s="13">
        <v>19333.599999999999</v>
      </c>
      <c r="F619" t="s">
        <v>699</v>
      </c>
      <c r="G619" s="4">
        <v>-4.7000000000000002E-3</v>
      </c>
    </row>
    <row r="620" spans="1:7" x14ac:dyDescent="0.3">
      <c r="A620" s="25">
        <v>45202</v>
      </c>
      <c r="B620" s="13">
        <v>19528.75</v>
      </c>
      <c r="C620" s="13">
        <v>19622.400000000001</v>
      </c>
      <c r="D620" s="13">
        <v>19623.2</v>
      </c>
      <c r="E620" s="13">
        <v>19479.650000000001</v>
      </c>
      <c r="F620" t="s">
        <v>698</v>
      </c>
      <c r="G620" s="4">
        <v>-5.5999999999999999E-3</v>
      </c>
    </row>
    <row r="621" spans="1:7" x14ac:dyDescent="0.3">
      <c r="A621" s="25">
        <v>45198</v>
      </c>
      <c r="B621" s="13">
        <v>19638.3</v>
      </c>
      <c r="C621" s="13">
        <v>19581.2</v>
      </c>
      <c r="D621" s="13">
        <v>19726.25</v>
      </c>
      <c r="E621" s="13">
        <v>19551.05</v>
      </c>
      <c r="F621" t="s">
        <v>697</v>
      </c>
      <c r="G621" s="4">
        <v>5.8999999999999999E-3</v>
      </c>
    </row>
    <row r="622" spans="1:7" x14ac:dyDescent="0.3">
      <c r="A622" s="25">
        <v>45197</v>
      </c>
      <c r="B622" s="13">
        <v>19523.55</v>
      </c>
      <c r="C622" s="13">
        <v>19761.8</v>
      </c>
      <c r="D622" s="13">
        <v>19766.650000000001</v>
      </c>
      <c r="E622" s="13">
        <v>19492.099999999999</v>
      </c>
      <c r="F622" t="s">
        <v>696</v>
      </c>
      <c r="G622" s="4">
        <v>-9.7999999999999997E-3</v>
      </c>
    </row>
    <row r="623" spans="1:7" x14ac:dyDescent="0.3">
      <c r="A623" s="25">
        <v>45196</v>
      </c>
      <c r="B623" s="13">
        <v>19716.45</v>
      </c>
      <c r="C623" s="13">
        <v>19637.05</v>
      </c>
      <c r="D623" s="13">
        <v>19730.7</v>
      </c>
      <c r="E623" s="13">
        <v>19554</v>
      </c>
      <c r="F623" t="s">
        <v>695</v>
      </c>
      <c r="G623" s="4">
        <v>2.5999999999999999E-3</v>
      </c>
    </row>
    <row r="624" spans="1:7" x14ac:dyDescent="0.3">
      <c r="A624" s="25">
        <v>45195</v>
      </c>
      <c r="B624" s="13">
        <v>19664.7</v>
      </c>
      <c r="C624" s="13">
        <v>19682.8</v>
      </c>
      <c r="D624" s="13">
        <v>19699.349999999999</v>
      </c>
      <c r="E624" s="13">
        <v>19637.45</v>
      </c>
      <c r="F624" t="s">
        <v>694</v>
      </c>
      <c r="G624" s="4">
        <v>-5.0000000000000001E-4</v>
      </c>
    </row>
    <row r="625" spans="1:7" x14ac:dyDescent="0.3">
      <c r="A625" s="25">
        <v>45194</v>
      </c>
      <c r="B625" s="13">
        <v>19674.55</v>
      </c>
      <c r="C625" s="13">
        <v>19678.2</v>
      </c>
      <c r="D625" s="13">
        <v>19734.150000000001</v>
      </c>
      <c r="E625" s="13">
        <v>19601.55</v>
      </c>
      <c r="F625" t="s">
        <v>693</v>
      </c>
      <c r="G625" s="4">
        <v>0</v>
      </c>
    </row>
    <row r="626" spans="1:7" x14ac:dyDescent="0.3">
      <c r="A626" s="25">
        <v>45191</v>
      </c>
      <c r="B626" s="13">
        <v>19674.25</v>
      </c>
      <c r="C626" s="13">
        <v>19744.849999999999</v>
      </c>
      <c r="D626" s="13">
        <v>19798.650000000001</v>
      </c>
      <c r="E626" s="13">
        <v>19657.5</v>
      </c>
      <c r="F626" t="s">
        <v>692</v>
      </c>
      <c r="G626" s="4">
        <v>-3.3999999999999998E-3</v>
      </c>
    </row>
    <row r="627" spans="1:7" x14ac:dyDescent="0.3">
      <c r="A627" s="25">
        <v>45190</v>
      </c>
      <c r="B627" s="13">
        <v>19742.349999999999</v>
      </c>
      <c r="C627" s="13">
        <v>19840.55</v>
      </c>
      <c r="D627" s="13">
        <v>19848.75</v>
      </c>
      <c r="E627" s="13">
        <v>19709.95</v>
      </c>
      <c r="F627" t="s">
        <v>691</v>
      </c>
      <c r="G627" s="4">
        <v>-8.0000000000000002E-3</v>
      </c>
    </row>
    <row r="628" spans="1:7" x14ac:dyDescent="0.3">
      <c r="A628" s="25">
        <v>45189</v>
      </c>
      <c r="B628" s="13">
        <v>19901.400000000001</v>
      </c>
      <c r="C628" s="13">
        <v>19980.75</v>
      </c>
      <c r="D628" s="13">
        <v>20050.650000000001</v>
      </c>
      <c r="E628" s="13">
        <v>19878.849999999999</v>
      </c>
      <c r="F628" t="s">
        <v>690</v>
      </c>
      <c r="G628" s="4">
        <v>-1.15E-2</v>
      </c>
    </row>
    <row r="629" spans="1:7" x14ac:dyDescent="0.3">
      <c r="A629" s="25">
        <v>45187</v>
      </c>
      <c r="B629" s="13">
        <v>20133.3</v>
      </c>
      <c r="C629" s="13">
        <v>20155.95</v>
      </c>
      <c r="D629" s="13">
        <v>20195.349999999999</v>
      </c>
      <c r="E629" s="13">
        <v>20115.7</v>
      </c>
      <c r="F629" t="s">
        <v>689</v>
      </c>
      <c r="G629" s="4">
        <v>-2.8999999999999998E-3</v>
      </c>
    </row>
    <row r="630" spans="1:7" x14ac:dyDescent="0.3">
      <c r="A630" s="25">
        <v>45184</v>
      </c>
      <c r="B630" s="13">
        <v>20192.349999999999</v>
      </c>
      <c r="C630" s="13">
        <v>20156.45</v>
      </c>
      <c r="D630" s="13">
        <v>20222.45</v>
      </c>
      <c r="E630" s="13">
        <v>20129.7</v>
      </c>
      <c r="F630" t="s">
        <v>688</v>
      </c>
      <c r="G630" s="4">
        <v>4.4000000000000003E-3</v>
      </c>
    </row>
    <row r="631" spans="1:7" x14ac:dyDescent="0.3">
      <c r="A631" s="25">
        <v>45183</v>
      </c>
      <c r="B631" s="13">
        <v>20103.099999999999</v>
      </c>
      <c r="C631" s="13">
        <v>20127.95</v>
      </c>
      <c r="D631" s="13">
        <v>20167.650000000001</v>
      </c>
      <c r="E631" s="13">
        <v>20043.45</v>
      </c>
      <c r="F631" t="s">
        <v>687</v>
      </c>
      <c r="G631" s="4">
        <v>1.6000000000000001E-3</v>
      </c>
    </row>
    <row r="632" spans="1:7" x14ac:dyDescent="0.3">
      <c r="A632" s="25">
        <v>45182</v>
      </c>
      <c r="B632" s="13">
        <v>20070</v>
      </c>
      <c r="C632" s="13">
        <v>19989.5</v>
      </c>
      <c r="D632" s="13">
        <v>20096.900000000001</v>
      </c>
      <c r="E632" s="13">
        <v>19944.099999999999</v>
      </c>
      <c r="F632" t="s">
        <v>686</v>
      </c>
      <c r="G632" s="4">
        <v>3.8E-3</v>
      </c>
    </row>
    <row r="633" spans="1:7" x14ac:dyDescent="0.3">
      <c r="A633" s="25">
        <v>45181</v>
      </c>
      <c r="B633" s="13">
        <v>19993.2</v>
      </c>
      <c r="C633" s="13">
        <v>20110.150000000001</v>
      </c>
      <c r="D633" s="13">
        <v>20110.349999999999</v>
      </c>
      <c r="E633" s="13">
        <v>19914.650000000001</v>
      </c>
      <c r="F633" t="s">
        <v>685</v>
      </c>
      <c r="G633" s="4">
        <v>-2.0000000000000001E-4</v>
      </c>
    </row>
    <row r="634" spans="1:7" x14ac:dyDescent="0.3">
      <c r="A634" s="25">
        <v>45180</v>
      </c>
      <c r="B634" s="13">
        <v>19996.349999999999</v>
      </c>
      <c r="C634" s="13">
        <v>19890</v>
      </c>
      <c r="D634" s="13">
        <v>20008.150000000001</v>
      </c>
      <c r="E634" s="13">
        <v>19865.349999999999</v>
      </c>
      <c r="F634" t="s">
        <v>684</v>
      </c>
      <c r="G634" s="4">
        <v>8.8999999999999999E-3</v>
      </c>
    </row>
    <row r="635" spans="1:7" x14ac:dyDescent="0.3">
      <c r="A635" s="25">
        <v>45177</v>
      </c>
      <c r="B635" s="13">
        <v>19819.95</v>
      </c>
      <c r="C635" s="13">
        <v>19774.8</v>
      </c>
      <c r="D635" s="13">
        <v>19867.150000000001</v>
      </c>
      <c r="E635" s="13">
        <v>19727.05</v>
      </c>
      <c r="F635" t="s">
        <v>683</v>
      </c>
      <c r="G635" s="4">
        <v>4.7000000000000002E-3</v>
      </c>
    </row>
    <row r="636" spans="1:7" x14ac:dyDescent="0.3">
      <c r="A636" s="25">
        <v>45176</v>
      </c>
      <c r="B636" s="13">
        <v>19727.05</v>
      </c>
      <c r="C636" s="13">
        <v>19598.650000000001</v>
      </c>
      <c r="D636" s="13">
        <v>19737</v>
      </c>
      <c r="E636" s="13">
        <v>19550.05</v>
      </c>
      <c r="F636" t="s">
        <v>682</v>
      </c>
      <c r="G636" s="4">
        <v>5.8999999999999999E-3</v>
      </c>
    </row>
    <row r="637" spans="1:7" x14ac:dyDescent="0.3">
      <c r="A637" s="25">
        <v>45175</v>
      </c>
      <c r="B637" s="13">
        <v>19611.05</v>
      </c>
      <c r="C637" s="13">
        <v>19581.2</v>
      </c>
      <c r="D637" s="13">
        <v>19636.45</v>
      </c>
      <c r="E637" s="13">
        <v>19491.5</v>
      </c>
      <c r="F637" t="s">
        <v>430</v>
      </c>
      <c r="G637" s="4">
        <v>1.8E-3</v>
      </c>
    </row>
    <row r="638" spans="1:7" x14ac:dyDescent="0.3">
      <c r="A638" s="25">
        <v>45174</v>
      </c>
      <c r="B638" s="13">
        <v>19574.900000000001</v>
      </c>
      <c r="C638" s="13">
        <v>19564.650000000001</v>
      </c>
      <c r="D638" s="13">
        <v>19587.05</v>
      </c>
      <c r="E638" s="13">
        <v>19525.75</v>
      </c>
      <c r="F638" t="s">
        <v>681</v>
      </c>
      <c r="G638" s="4">
        <v>2.3999999999999998E-3</v>
      </c>
    </row>
    <row r="639" spans="1:7" x14ac:dyDescent="0.3">
      <c r="A639" s="25">
        <v>45173</v>
      </c>
      <c r="B639" s="13">
        <v>19528.8</v>
      </c>
      <c r="C639" s="13">
        <v>19525.05</v>
      </c>
      <c r="D639" s="13">
        <v>19545.150000000001</v>
      </c>
      <c r="E639" s="13">
        <v>19432.849999999999</v>
      </c>
      <c r="F639" t="s">
        <v>680</v>
      </c>
      <c r="G639" s="4">
        <v>4.7999999999999996E-3</v>
      </c>
    </row>
    <row r="640" spans="1:7" x14ac:dyDescent="0.3">
      <c r="A640" s="25">
        <v>45170</v>
      </c>
      <c r="B640" s="13">
        <v>19435.3</v>
      </c>
      <c r="C640" s="13">
        <v>19258.150000000001</v>
      </c>
      <c r="D640" s="13">
        <v>19458.55</v>
      </c>
      <c r="E640" s="13">
        <v>19255.7</v>
      </c>
      <c r="F640" t="s">
        <v>679</v>
      </c>
      <c r="G640" s="4">
        <v>9.4000000000000004E-3</v>
      </c>
    </row>
    <row r="641" spans="1:7" x14ac:dyDescent="0.3">
      <c r="A641" s="25">
        <v>45169</v>
      </c>
      <c r="B641" s="13">
        <v>19253.8</v>
      </c>
      <c r="C641" s="13">
        <v>19375.55</v>
      </c>
      <c r="D641" s="13">
        <v>19388.2</v>
      </c>
      <c r="E641" s="13">
        <v>19223.650000000001</v>
      </c>
      <c r="F641" t="s">
        <v>678</v>
      </c>
      <c r="G641" s="4">
        <v>-4.7999999999999996E-3</v>
      </c>
    </row>
    <row r="642" spans="1:7" x14ac:dyDescent="0.3">
      <c r="A642" s="25">
        <v>45168</v>
      </c>
      <c r="B642" s="13">
        <v>19347.45</v>
      </c>
      <c r="C642" s="13">
        <v>19433.45</v>
      </c>
      <c r="D642" s="13">
        <v>19452.8</v>
      </c>
      <c r="E642" s="13">
        <v>19334.75</v>
      </c>
      <c r="F642" t="s">
        <v>677</v>
      </c>
      <c r="G642" s="4">
        <v>2.0000000000000001E-4</v>
      </c>
    </row>
    <row r="643" spans="1:7" x14ac:dyDescent="0.3">
      <c r="A643" s="25">
        <v>45167</v>
      </c>
      <c r="B643" s="13">
        <v>19342.650000000001</v>
      </c>
      <c r="C643" s="13">
        <v>19374.849999999999</v>
      </c>
      <c r="D643" s="13">
        <v>19377.900000000001</v>
      </c>
      <c r="E643" s="13">
        <v>19309.099999999999</v>
      </c>
      <c r="F643" t="s">
        <v>676</v>
      </c>
      <c r="G643" s="4">
        <v>1.9E-3</v>
      </c>
    </row>
    <row r="644" spans="1:7" x14ac:dyDescent="0.3">
      <c r="A644" s="25">
        <v>45166</v>
      </c>
      <c r="B644" s="13">
        <v>19306.05</v>
      </c>
      <c r="C644" s="13">
        <v>19298.349999999999</v>
      </c>
      <c r="D644" s="13">
        <v>19366.849999999999</v>
      </c>
      <c r="E644" s="13">
        <v>19249.7</v>
      </c>
      <c r="F644" t="s">
        <v>675</v>
      </c>
      <c r="G644" s="4">
        <v>2.0999999999999999E-3</v>
      </c>
    </row>
    <row r="645" spans="1:7" x14ac:dyDescent="0.3">
      <c r="A645" s="25">
        <v>45163</v>
      </c>
      <c r="B645" s="13">
        <v>19265.8</v>
      </c>
      <c r="C645" s="13">
        <v>19297.400000000001</v>
      </c>
      <c r="D645" s="13">
        <v>19339.55</v>
      </c>
      <c r="E645" s="13">
        <v>19229.7</v>
      </c>
      <c r="F645" t="s">
        <v>674</v>
      </c>
      <c r="G645" s="4">
        <v>-6.1999999999999998E-3</v>
      </c>
    </row>
    <row r="646" spans="1:7" x14ac:dyDescent="0.3">
      <c r="A646" s="25">
        <v>45162</v>
      </c>
      <c r="B646" s="13">
        <v>19386.7</v>
      </c>
      <c r="C646" s="13">
        <v>19535.150000000001</v>
      </c>
      <c r="D646" s="13">
        <v>19584.45</v>
      </c>
      <c r="E646" s="13">
        <v>19369</v>
      </c>
      <c r="F646" t="s">
        <v>642</v>
      </c>
      <c r="G646" s="4">
        <v>-2.8999999999999998E-3</v>
      </c>
    </row>
    <row r="647" spans="1:7" x14ac:dyDescent="0.3">
      <c r="A647" s="25">
        <v>45161</v>
      </c>
      <c r="B647" s="13">
        <v>19444</v>
      </c>
      <c r="C647" s="13">
        <v>19439.2</v>
      </c>
      <c r="D647" s="13">
        <v>19472.05</v>
      </c>
      <c r="E647" s="13">
        <v>19366.599999999999</v>
      </c>
      <c r="F647" t="s">
        <v>673</v>
      </c>
      <c r="G647" s="4">
        <v>2.5000000000000001E-3</v>
      </c>
    </row>
    <row r="648" spans="1:7" x14ac:dyDescent="0.3">
      <c r="A648" s="25">
        <v>45160</v>
      </c>
      <c r="B648" s="13">
        <v>19396.45</v>
      </c>
      <c r="C648" s="13">
        <v>19417.099999999999</v>
      </c>
      <c r="D648" s="13">
        <v>19443.5</v>
      </c>
      <c r="E648" s="13">
        <v>19381.3</v>
      </c>
      <c r="F648" t="s">
        <v>519</v>
      </c>
      <c r="G648" s="4">
        <v>1E-4</v>
      </c>
    </row>
    <row r="649" spans="1:7" x14ac:dyDescent="0.3">
      <c r="A649" s="25">
        <v>45159</v>
      </c>
      <c r="B649" s="13">
        <v>19393.599999999999</v>
      </c>
      <c r="C649" s="13">
        <v>19320.650000000001</v>
      </c>
      <c r="D649" s="13">
        <v>19425.95</v>
      </c>
      <c r="E649" s="13">
        <v>19296.3</v>
      </c>
      <c r="F649" t="s">
        <v>672</v>
      </c>
      <c r="G649" s="4">
        <v>4.3E-3</v>
      </c>
    </row>
    <row r="650" spans="1:7" x14ac:dyDescent="0.3">
      <c r="A650" s="25">
        <v>45156</v>
      </c>
      <c r="B650" s="13">
        <v>19310.150000000001</v>
      </c>
      <c r="C650" s="13">
        <v>19301.75</v>
      </c>
      <c r="D650" s="13">
        <v>19373.8</v>
      </c>
      <c r="E650" s="13">
        <v>19253.599999999999</v>
      </c>
      <c r="F650" t="s">
        <v>671</v>
      </c>
      <c r="G650" s="4">
        <v>-2.8E-3</v>
      </c>
    </row>
    <row r="651" spans="1:7" x14ac:dyDescent="0.3">
      <c r="A651" s="25">
        <v>45155</v>
      </c>
      <c r="B651" s="13">
        <v>19365.25</v>
      </c>
      <c r="C651" s="13">
        <v>19450.55</v>
      </c>
      <c r="D651" s="13">
        <v>19461.55</v>
      </c>
      <c r="E651" s="13">
        <v>19326.25</v>
      </c>
      <c r="F651" t="s">
        <v>670</v>
      </c>
      <c r="G651" s="4">
        <v>-5.1000000000000004E-3</v>
      </c>
    </row>
    <row r="652" spans="1:7" x14ac:dyDescent="0.3">
      <c r="A652" s="25">
        <v>45154</v>
      </c>
      <c r="B652" s="13">
        <v>19465</v>
      </c>
      <c r="C652" s="13">
        <v>19369</v>
      </c>
      <c r="D652" s="13">
        <v>19482.75</v>
      </c>
      <c r="E652" s="13">
        <v>19317.2</v>
      </c>
      <c r="F652" t="s">
        <v>669</v>
      </c>
      <c r="G652" s="4">
        <v>1.6000000000000001E-3</v>
      </c>
    </row>
    <row r="653" spans="1:7" x14ac:dyDescent="0.3">
      <c r="A653" s="25">
        <v>45152</v>
      </c>
      <c r="B653" s="13">
        <v>19434.55</v>
      </c>
      <c r="C653" s="13">
        <v>19383.95</v>
      </c>
      <c r="D653" s="13">
        <v>19465.849999999999</v>
      </c>
      <c r="E653" s="13">
        <v>19257.900000000001</v>
      </c>
      <c r="F653" t="s">
        <v>668</v>
      </c>
      <c r="G653" s="4">
        <v>2.9999999999999997E-4</v>
      </c>
    </row>
    <row r="654" spans="1:7" x14ac:dyDescent="0.3">
      <c r="A654" s="25">
        <v>45149</v>
      </c>
      <c r="B654" s="13">
        <v>19428.3</v>
      </c>
      <c r="C654" s="13">
        <v>19554.25</v>
      </c>
      <c r="D654" s="13">
        <v>19557.75</v>
      </c>
      <c r="E654" s="13">
        <v>19412.75</v>
      </c>
      <c r="F654" t="s">
        <v>667</v>
      </c>
      <c r="G654" s="4">
        <v>-5.8999999999999999E-3</v>
      </c>
    </row>
    <row r="655" spans="1:7" x14ac:dyDescent="0.3">
      <c r="A655" s="25">
        <v>45148</v>
      </c>
      <c r="B655" s="13">
        <v>19543.099999999999</v>
      </c>
      <c r="C655" s="13">
        <v>19605.55</v>
      </c>
      <c r="D655" s="13">
        <v>19623.599999999999</v>
      </c>
      <c r="E655" s="13">
        <v>19495.400000000001</v>
      </c>
      <c r="F655" t="s">
        <v>666</v>
      </c>
      <c r="G655" s="4">
        <v>-4.5999999999999999E-3</v>
      </c>
    </row>
    <row r="656" spans="1:7" x14ac:dyDescent="0.3">
      <c r="A656" s="25">
        <v>45147</v>
      </c>
      <c r="B656" s="13">
        <v>19632.55</v>
      </c>
      <c r="C656" s="13">
        <v>19578.8</v>
      </c>
      <c r="D656" s="13">
        <v>19645.5</v>
      </c>
      <c r="E656" s="13">
        <v>19467.5</v>
      </c>
      <c r="F656" t="s">
        <v>665</v>
      </c>
      <c r="G656" s="4">
        <v>3.2000000000000002E-3</v>
      </c>
    </row>
    <row r="657" spans="1:7" x14ac:dyDescent="0.3">
      <c r="A657" s="25">
        <v>45146</v>
      </c>
      <c r="B657" s="13">
        <v>19570.849999999999</v>
      </c>
      <c r="C657" s="13">
        <v>19627.2</v>
      </c>
      <c r="D657" s="13">
        <v>19634.400000000001</v>
      </c>
      <c r="E657" s="13">
        <v>19533.099999999999</v>
      </c>
      <c r="F657" t="s">
        <v>664</v>
      </c>
      <c r="G657" s="4">
        <v>-1.2999999999999999E-3</v>
      </c>
    </row>
    <row r="658" spans="1:7" x14ac:dyDescent="0.3">
      <c r="A658" s="25">
        <v>45145</v>
      </c>
      <c r="B658" s="13">
        <v>19597.3</v>
      </c>
      <c r="C658" s="13">
        <v>19576.849999999999</v>
      </c>
      <c r="D658" s="13">
        <v>19620.45</v>
      </c>
      <c r="E658" s="13">
        <v>19524.8</v>
      </c>
      <c r="F658" t="s">
        <v>663</v>
      </c>
      <c r="G658" s="4">
        <v>4.1000000000000003E-3</v>
      </c>
    </row>
    <row r="659" spans="1:7" x14ac:dyDescent="0.3">
      <c r="A659" s="25">
        <v>45142</v>
      </c>
      <c r="B659" s="13">
        <v>19517</v>
      </c>
      <c r="C659" s="13">
        <v>19462.8</v>
      </c>
      <c r="D659" s="13">
        <v>19538.849999999999</v>
      </c>
      <c r="E659" s="13">
        <v>19436.45</v>
      </c>
      <c r="F659" t="s">
        <v>662</v>
      </c>
      <c r="G659" s="4">
        <v>7.0000000000000001E-3</v>
      </c>
    </row>
    <row r="660" spans="1:7" x14ac:dyDescent="0.3">
      <c r="A660" s="25">
        <v>45141</v>
      </c>
      <c r="B660" s="13">
        <v>19381.650000000001</v>
      </c>
      <c r="C660" s="13">
        <v>19463.75</v>
      </c>
      <c r="D660" s="13">
        <v>19537.650000000001</v>
      </c>
      <c r="E660" s="13">
        <v>19296.45</v>
      </c>
      <c r="F660" t="s">
        <v>661</v>
      </c>
      <c r="G660" s="4">
        <v>-7.4000000000000003E-3</v>
      </c>
    </row>
    <row r="661" spans="1:7" x14ac:dyDescent="0.3">
      <c r="A661" s="25">
        <v>45140</v>
      </c>
      <c r="B661" s="13">
        <v>19526.55</v>
      </c>
      <c r="C661" s="13">
        <v>19655.400000000001</v>
      </c>
      <c r="D661" s="13">
        <v>19678.25</v>
      </c>
      <c r="E661" s="13">
        <v>19423.55</v>
      </c>
      <c r="F661" t="s">
        <v>660</v>
      </c>
      <c r="G661" s="4">
        <v>-1.0500000000000001E-2</v>
      </c>
    </row>
    <row r="662" spans="1:7" x14ac:dyDescent="0.3">
      <c r="A662" s="25">
        <v>45139</v>
      </c>
      <c r="B662" s="13">
        <v>19733.55</v>
      </c>
      <c r="C662" s="13">
        <v>19784</v>
      </c>
      <c r="D662" s="13">
        <v>19795.599999999999</v>
      </c>
      <c r="E662" s="13">
        <v>19704.599999999999</v>
      </c>
      <c r="F662" t="s">
        <v>247</v>
      </c>
      <c r="G662" s="4">
        <v>-1E-3</v>
      </c>
    </row>
    <row r="663" spans="1:7" x14ac:dyDescent="0.3">
      <c r="A663" s="25">
        <v>45138</v>
      </c>
      <c r="B663" s="13">
        <v>19753.8</v>
      </c>
      <c r="C663" s="13">
        <v>19666.349999999999</v>
      </c>
      <c r="D663" s="13">
        <v>19772.75</v>
      </c>
      <c r="E663" s="13">
        <v>19597.599999999999</v>
      </c>
      <c r="F663" t="s">
        <v>659</v>
      </c>
      <c r="G663" s="4">
        <v>5.4999999999999997E-3</v>
      </c>
    </row>
    <row r="664" spans="1:7" x14ac:dyDescent="0.3">
      <c r="A664" s="25">
        <v>45135</v>
      </c>
      <c r="B664" s="13">
        <v>19646.05</v>
      </c>
      <c r="C664" s="13">
        <v>19659.75</v>
      </c>
      <c r="D664" s="13">
        <v>19695.900000000001</v>
      </c>
      <c r="E664" s="13">
        <v>19563.099999999999</v>
      </c>
      <c r="F664" t="s">
        <v>658</v>
      </c>
      <c r="G664" s="4">
        <v>-6.9999999999999999E-4</v>
      </c>
    </row>
    <row r="665" spans="1:7" x14ac:dyDescent="0.3">
      <c r="A665" s="25">
        <v>45134</v>
      </c>
      <c r="B665" s="13">
        <v>19659.900000000001</v>
      </c>
      <c r="C665" s="13">
        <v>19850.900000000001</v>
      </c>
      <c r="D665" s="13">
        <v>19867.55</v>
      </c>
      <c r="E665" s="13">
        <v>19603.55</v>
      </c>
      <c r="F665" t="s">
        <v>657</v>
      </c>
      <c r="G665" s="4">
        <v>-6.0000000000000001E-3</v>
      </c>
    </row>
    <row r="666" spans="1:7" x14ac:dyDescent="0.3">
      <c r="A666" s="25">
        <v>45133</v>
      </c>
      <c r="B666" s="13">
        <v>19778.3</v>
      </c>
      <c r="C666" s="13">
        <v>19733.349999999999</v>
      </c>
      <c r="D666" s="13">
        <v>19825.599999999999</v>
      </c>
      <c r="E666" s="13">
        <v>19716.7</v>
      </c>
      <c r="F666" t="s">
        <v>656</v>
      </c>
      <c r="G666" s="4">
        <v>5.0000000000000001E-3</v>
      </c>
    </row>
    <row r="667" spans="1:7" x14ac:dyDescent="0.3">
      <c r="A667" s="25">
        <v>45132</v>
      </c>
      <c r="B667" s="13">
        <v>19680.599999999999</v>
      </c>
      <c r="C667" s="13">
        <v>19729.349999999999</v>
      </c>
      <c r="D667" s="13">
        <v>19729.349999999999</v>
      </c>
      <c r="E667" s="13">
        <v>19615.95</v>
      </c>
      <c r="F667" t="s">
        <v>655</v>
      </c>
      <c r="G667" s="4">
        <v>4.0000000000000002E-4</v>
      </c>
    </row>
    <row r="668" spans="1:7" x14ac:dyDescent="0.3">
      <c r="A668" s="25">
        <v>45131</v>
      </c>
      <c r="B668" s="13">
        <v>19672.349999999999</v>
      </c>
      <c r="C668" s="13">
        <v>19748.45</v>
      </c>
      <c r="D668" s="13">
        <v>19782.75</v>
      </c>
      <c r="E668" s="13">
        <v>19658.3</v>
      </c>
      <c r="F668" t="s">
        <v>654</v>
      </c>
      <c r="G668" s="4">
        <v>-3.7000000000000002E-3</v>
      </c>
    </row>
    <row r="669" spans="1:7" x14ac:dyDescent="0.3">
      <c r="A669" s="25">
        <v>45128</v>
      </c>
      <c r="B669" s="13">
        <v>19745</v>
      </c>
      <c r="C669" s="13">
        <v>19800.45</v>
      </c>
      <c r="D669" s="13">
        <v>19887.400000000001</v>
      </c>
      <c r="E669" s="13">
        <v>19700</v>
      </c>
      <c r="F669" t="s">
        <v>653</v>
      </c>
      <c r="G669" s="4">
        <v>-1.17E-2</v>
      </c>
    </row>
    <row r="670" spans="1:7" x14ac:dyDescent="0.3">
      <c r="A670" s="25">
        <v>45127</v>
      </c>
      <c r="B670" s="13">
        <v>19979.150000000001</v>
      </c>
      <c r="C670" s="13">
        <v>19831.7</v>
      </c>
      <c r="D670" s="13">
        <v>19991.849999999999</v>
      </c>
      <c r="E670" s="13">
        <v>19758.400000000001</v>
      </c>
      <c r="F670" t="s">
        <v>652</v>
      </c>
      <c r="G670" s="4">
        <v>7.4000000000000003E-3</v>
      </c>
    </row>
    <row r="671" spans="1:7" x14ac:dyDescent="0.3">
      <c r="A671" s="25">
        <v>45126</v>
      </c>
      <c r="B671" s="13">
        <v>19833.150000000001</v>
      </c>
      <c r="C671" s="13">
        <v>19802.95</v>
      </c>
      <c r="D671" s="13">
        <v>19851.7</v>
      </c>
      <c r="E671" s="13">
        <v>19727.45</v>
      </c>
      <c r="F671" t="s">
        <v>651</v>
      </c>
      <c r="G671" s="4">
        <v>4.1999999999999997E-3</v>
      </c>
    </row>
    <row r="672" spans="1:7" x14ac:dyDescent="0.3">
      <c r="A672" s="25">
        <v>45125</v>
      </c>
      <c r="B672" s="13">
        <v>19749.25</v>
      </c>
      <c r="C672" s="13">
        <v>19787.5</v>
      </c>
      <c r="D672" s="13">
        <v>19819.45</v>
      </c>
      <c r="E672" s="13">
        <v>19690.2</v>
      </c>
      <c r="F672" t="s">
        <v>650</v>
      </c>
      <c r="G672" s="4">
        <v>1.9E-3</v>
      </c>
    </row>
    <row r="673" spans="1:7" x14ac:dyDescent="0.3">
      <c r="A673" s="25">
        <v>45124</v>
      </c>
      <c r="B673" s="13">
        <v>19711.45</v>
      </c>
      <c r="C673" s="13">
        <v>19612.150000000001</v>
      </c>
      <c r="D673" s="13">
        <v>19731.849999999999</v>
      </c>
      <c r="E673" s="13">
        <v>19562.95</v>
      </c>
      <c r="F673" t="s">
        <v>649</v>
      </c>
      <c r="G673" s="4">
        <v>7.4999999999999997E-3</v>
      </c>
    </row>
    <row r="674" spans="1:7" x14ac:dyDescent="0.3">
      <c r="A674" s="25">
        <v>45121</v>
      </c>
      <c r="B674" s="13">
        <v>19564.5</v>
      </c>
      <c r="C674" s="13">
        <v>19493.45</v>
      </c>
      <c r="D674" s="13">
        <v>19595.349999999999</v>
      </c>
      <c r="E674" s="13">
        <v>19433.5</v>
      </c>
      <c r="F674" t="s">
        <v>648</v>
      </c>
      <c r="G674" s="4">
        <v>7.7999999999999996E-3</v>
      </c>
    </row>
    <row r="675" spans="1:7" x14ac:dyDescent="0.3">
      <c r="A675" s="25">
        <v>45120</v>
      </c>
      <c r="B675" s="13">
        <v>19413.75</v>
      </c>
      <c r="C675" s="13">
        <v>19495.2</v>
      </c>
      <c r="D675" s="13">
        <v>19567</v>
      </c>
      <c r="E675" s="13">
        <v>19385.8</v>
      </c>
      <c r="F675" t="s">
        <v>647</v>
      </c>
      <c r="G675" s="4">
        <v>1.5E-3</v>
      </c>
    </row>
    <row r="676" spans="1:7" x14ac:dyDescent="0.3">
      <c r="A676" s="25">
        <v>45119</v>
      </c>
      <c r="B676" s="13">
        <v>19384.3</v>
      </c>
      <c r="C676" s="13">
        <v>19497.45</v>
      </c>
      <c r="D676" s="13">
        <v>19507.7</v>
      </c>
      <c r="E676" s="13">
        <v>19361.75</v>
      </c>
      <c r="F676" t="s">
        <v>646</v>
      </c>
      <c r="G676" s="4">
        <v>-2.8E-3</v>
      </c>
    </row>
    <row r="677" spans="1:7" x14ac:dyDescent="0.3">
      <c r="A677" s="25">
        <v>45118</v>
      </c>
      <c r="B677" s="13">
        <v>19439.400000000001</v>
      </c>
      <c r="C677" s="13">
        <v>19427.099999999999</v>
      </c>
      <c r="D677" s="13">
        <v>19515.099999999999</v>
      </c>
      <c r="E677" s="13">
        <v>19406.45</v>
      </c>
      <c r="F677" t="s">
        <v>645</v>
      </c>
      <c r="G677" s="4">
        <v>4.3E-3</v>
      </c>
    </row>
    <row r="678" spans="1:7" x14ac:dyDescent="0.3">
      <c r="A678" s="25">
        <v>45117</v>
      </c>
      <c r="B678" s="13">
        <v>19355.900000000001</v>
      </c>
      <c r="C678" s="13">
        <v>19400.349999999999</v>
      </c>
      <c r="D678" s="13">
        <v>19435.849999999999</v>
      </c>
      <c r="E678" s="13">
        <v>19327.099999999999</v>
      </c>
      <c r="F678" t="s">
        <v>644</v>
      </c>
      <c r="G678" s="4">
        <v>1.1999999999999999E-3</v>
      </c>
    </row>
    <row r="679" spans="1:7" x14ac:dyDescent="0.3">
      <c r="A679" s="25">
        <v>45114</v>
      </c>
      <c r="B679" s="13">
        <v>19331.8</v>
      </c>
      <c r="C679" s="13">
        <v>19422.8</v>
      </c>
      <c r="D679" s="13">
        <v>19523.599999999999</v>
      </c>
      <c r="E679" s="13">
        <v>19303.599999999999</v>
      </c>
      <c r="F679" t="s">
        <v>643</v>
      </c>
      <c r="G679" s="4">
        <v>-8.5000000000000006E-3</v>
      </c>
    </row>
    <row r="680" spans="1:7" x14ac:dyDescent="0.3">
      <c r="A680" s="25">
        <v>45113</v>
      </c>
      <c r="B680" s="13">
        <v>19497.3</v>
      </c>
      <c r="C680" s="13">
        <v>19385.7</v>
      </c>
      <c r="D680" s="13">
        <v>19512.2</v>
      </c>
      <c r="E680" s="13">
        <v>19373</v>
      </c>
      <c r="F680" t="s">
        <v>642</v>
      </c>
      <c r="G680" s="4">
        <v>5.1000000000000004E-3</v>
      </c>
    </row>
    <row r="681" spans="1:7" x14ac:dyDescent="0.3">
      <c r="A681" s="25">
        <v>45112</v>
      </c>
      <c r="B681" s="13">
        <v>19398.5</v>
      </c>
      <c r="C681" s="13">
        <v>19405.95</v>
      </c>
      <c r="D681" s="13">
        <v>19421.599999999999</v>
      </c>
      <c r="E681" s="13">
        <v>19339.599999999999</v>
      </c>
      <c r="F681" t="s">
        <v>641</v>
      </c>
      <c r="G681" s="4">
        <v>5.0000000000000001E-4</v>
      </c>
    </row>
    <row r="682" spans="1:7" x14ac:dyDescent="0.3">
      <c r="A682" s="25">
        <v>45111</v>
      </c>
      <c r="B682" s="13">
        <v>19389</v>
      </c>
      <c r="C682" s="13">
        <v>19406.599999999999</v>
      </c>
      <c r="D682" s="13">
        <v>19434.150000000001</v>
      </c>
      <c r="E682" s="13">
        <v>19300</v>
      </c>
      <c r="F682" t="s">
        <v>640</v>
      </c>
      <c r="G682" s="4">
        <v>3.3999999999999998E-3</v>
      </c>
    </row>
    <row r="683" spans="1:7" x14ac:dyDescent="0.3">
      <c r="A683" s="25">
        <v>45110</v>
      </c>
      <c r="B683" s="13">
        <v>19322.55</v>
      </c>
      <c r="C683" s="13">
        <v>19246.5</v>
      </c>
      <c r="D683" s="13">
        <v>19345.099999999999</v>
      </c>
      <c r="E683" s="13">
        <v>19234.400000000001</v>
      </c>
      <c r="F683" t="s">
        <v>639</v>
      </c>
      <c r="G683" s="4">
        <v>7.0000000000000001E-3</v>
      </c>
    </row>
    <row r="684" spans="1:7" x14ac:dyDescent="0.3">
      <c r="A684" s="25">
        <v>45107</v>
      </c>
      <c r="B684" s="13">
        <v>19189.05</v>
      </c>
      <c r="C684" s="13">
        <v>19076.849999999999</v>
      </c>
      <c r="D684" s="13">
        <v>19201.7</v>
      </c>
      <c r="E684" s="13">
        <v>19024.599999999999</v>
      </c>
      <c r="F684" t="s">
        <v>638</v>
      </c>
      <c r="G684" s="4">
        <v>1.14E-2</v>
      </c>
    </row>
    <row r="685" spans="1:7" x14ac:dyDescent="0.3">
      <c r="A685" s="25">
        <v>45105</v>
      </c>
      <c r="B685" s="13">
        <v>18972.099999999999</v>
      </c>
      <c r="C685" s="13">
        <v>18908.150000000001</v>
      </c>
      <c r="D685" s="13">
        <v>19011.25</v>
      </c>
      <c r="E685" s="13">
        <v>18861.349999999999</v>
      </c>
      <c r="F685" t="s">
        <v>637</v>
      </c>
      <c r="G685" s="4">
        <v>8.2000000000000007E-3</v>
      </c>
    </row>
    <row r="686" spans="1:7" x14ac:dyDescent="0.3">
      <c r="A686" s="25">
        <v>45104</v>
      </c>
      <c r="B686" s="13">
        <v>18817.400000000001</v>
      </c>
      <c r="C686" s="13">
        <v>18748.55</v>
      </c>
      <c r="D686" s="13">
        <v>18829.25</v>
      </c>
      <c r="E686" s="13">
        <v>18714.25</v>
      </c>
      <c r="F686" t="s">
        <v>636</v>
      </c>
      <c r="G686" s="4">
        <v>6.7999999999999996E-3</v>
      </c>
    </row>
    <row r="687" spans="1:7" x14ac:dyDescent="0.3">
      <c r="A687" s="25">
        <v>45103</v>
      </c>
      <c r="B687" s="13">
        <v>18691.2</v>
      </c>
      <c r="C687" s="13">
        <v>18682.349999999999</v>
      </c>
      <c r="D687" s="13">
        <v>18722.05</v>
      </c>
      <c r="E687" s="13">
        <v>18646.7</v>
      </c>
      <c r="F687" t="s">
        <v>635</v>
      </c>
      <c r="G687" s="4">
        <v>1.4E-3</v>
      </c>
    </row>
    <row r="688" spans="1:7" x14ac:dyDescent="0.3">
      <c r="A688" s="25">
        <v>45100</v>
      </c>
      <c r="B688" s="13">
        <v>18665.5</v>
      </c>
      <c r="C688" s="13">
        <v>18741.849999999999</v>
      </c>
      <c r="D688" s="13">
        <v>18756.400000000001</v>
      </c>
      <c r="E688" s="13">
        <v>18647.099999999999</v>
      </c>
      <c r="F688" t="s">
        <v>634</v>
      </c>
      <c r="G688" s="4">
        <v>-5.5999999999999999E-3</v>
      </c>
    </row>
    <row r="689" spans="1:7" x14ac:dyDescent="0.3">
      <c r="A689" s="25">
        <v>45099</v>
      </c>
      <c r="B689" s="13">
        <v>18771.25</v>
      </c>
      <c r="C689" s="13">
        <v>18853.599999999999</v>
      </c>
      <c r="D689" s="13">
        <v>18886.599999999999</v>
      </c>
      <c r="E689" s="13">
        <v>18759.5</v>
      </c>
      <c r="F689" t="s">
        <v>633</v>
      </c>
      <c r="G689" s="4">
        <v>-4.4999999999999997E-3</v>
      </c>
    </row>
    <row r="690" spans="1:7" x14ac:dyDescent="0.3">
      <c r="A690" s="25">
        <v>45098</v>
      </c>
      <c r="B690" s="13">
        <v>18856.849999999999</v>
      </c>
      <c r="C690" s="13">
        <v>18849.400000000001</v>
      </c>
      <c r="D690" s="13">
        <v>18875.900000000001</v>
      </c>
      <c r="E690" s="13">
        <v>18794.849999999999</v>
      </c>
      <c r="F690" t="s">
        <v>632</v>
      </c>
      <c r="G690" s="4">
        <v>2.0999999999999999E-3</v>
      </c>
    </row>
    <row r="691" spans="1:7" x14ac:dyDescent="0.3">
      <c r="A691" s="25">
        <v>45097</v>
      </c>
      <c r="B691" s="13">
        <v>18816.7</v>
      </c>
      <c r="C691" s="13">
        <v>18752.349999999999</v>
      </c>
      <c r="D691" s="13">
        <v>18839.7</v>
      </c>
      <c r="E691" s="13">
        <v>18660.650000000001</v>
      </c>
      <c r="F691" t="s">
        <v>631</v>
      </c>
      <c r="G691" s="4">
        <v>3.3E-3</v>
      </c>
    </row>
    <row r="692" spans="1:7" x14ac:dyDescent="0.3">
      <c r="A692" s="25">
        <v>45096</v>
      </c>
      <c r="B692" s="13">
        <v>18755.45</v>
      </c>
      <c r="C692" s="13">
        <v>18873.3</v>
      </c>
      <c r="D692" s="13">
        <v>18881.45</v>
      </c>
      <c r="E692" s="13">
        <v>18719.150000000001</v>
      </c>
      <c r="F692" t="s">
        <v>630</v>
      </c>
      <c r="G692" s="4">
        <v>-3.7000000000000002E-3</v>
      </c>
    </row>
    <row r="693" spans="1:7" x14ac:dyDescent="0.3">
      <c r="A693" s="25">
        <v>45093</v>
      </c>
      <c r="B693" s="13">
        <v>18826</v>
      </c>
      <c r="C693" s="13">
        <v>18723.3</v>
      </c>
      <c r="D693" s="13">
        <v>18864.7</v>
      </c>
      <c r="E693" s="13">
        <v>18710.5</v>
      </c>
      <c r="F693" t="s">
        <v>629</v>
      </c>
      <c r="G693" s="4">
        <v>7.4000000000000003E-3</v>
      </c>
    </row>
    <row r="694" spans="1:7" x14ac:dyDescent="0.3">
      <c r="A694" s="25">
        <v>45092</v>
      </c>
      <c r="B694" s="13">
        <v>18688.099999999999</v>
      </c>
      <c r="C694" s="13">
        <v>18774.45</v>
      </c>
      <c r="D694" s="13">
        <v>18794.099999999999</v>
      </c>
      <c r="E694" s="13">
        <v>18669.05</v>
      </c>
      <c r="F694" t="s">
        <v>628</v>
      </c>
      <c r="G694" s="4">
        <v>-3.5999999999999999E-3</v>
      </c>
    </row>
    <row r="695" spans="1:7" x14ac:dyDescent="0.3">
      <c r="A695" s="25">
        <v>45091</v>
      </c>
      <c r="B695" s="13">
        <v>18755.900000000001</v>
      </c>
      <c r="C695" s="13">
        <v>18744.599999999999</v>
      </c>
      <c r="D695" s="13">
        <v>18769.7</v>
      </c>
      <c r="E695" s="13">
        <v>18690</v>
      </c>
      <c r="F695" t="s">
        <v>627</v>
      </c>
      <c r="G695" s="4">
        <v>2.0999999999999999E-3</v>
      </c>
    </row>
    <row r="696" spans="1:7" x14ac:dyDescent="0.3">
      <c r="A696" s="25">
        <v>45090</v>
      </c>
      <c r="B696" s="13">
        <v>18716.150000000001</v>
      </c>
      <c r="C696" s="13">
        <v>18631.8</v>
      </c>
      <c r="D696" s="13">
        <v>18728.900000000001</v>
      </c>
      <c r="E696" s="13">
        <v>18631.8</v>
      </c>
      <c r="F696" t="s">
        <v>626</v>
      </c>
      <c r="G696" s="4">
        <v>6.1999999999999998E-3</v>
      </c>
    </row>
    <row r="697" spans="1:7" x14ac:dyDescent="0.3">
      <c r="A697" s="25">
        <v>45089</v>
      </c>
      <c r="B697" s="13">
        <v>18601.5</v>
      </c>
      <c r="C697" s="13">
        <v>18595.05</v>
      </c>
      <c r="D697" s="13">
        <v>18633.599999999999</v>
      </c>
      <c r="E697" s="13">
        <v>18559.75</v>
      </c>
      <c r="F697" t="s">
        <v>625</v>
      </c>
      <c r="G697" s="4">
        <v>2.0999999999999999E-3</v>
      </c>
    </row>
    <row r="698" spans="1:7" x14ac:dyDescent="0.3">
      <c r="A698" s="25">
        <v>45086</v>
      </c>
      <c r="B698" s="13">
        <v>18563.400000000001</v>
      </c>
      <c r="C698" s="13">
        <v>18655.900000000001</v>
      </c>
      <c r="D698" s="13">
        <v>18676.650000000001</v>
      </c>
      <c r="E698" s="13">
        <v>18555.400000000001</v>
      </c>
      <c r="F698" t="s">
        <v>624</v>
      </c>
      <c r="G698" s="4">
        <v>-3.8E-3</v>
      </c>
    </row>
    <row r="699" spans="1:7" x14ac:dyDescent="0.3">
      <c r="A699" s="25">
        <v>45085</v>
      </c>
      <c r="B699" s="13">
        <v>18634.55</v>
      </c>
      <c r="C699" s="13">
        <v>18725.349999999999</v>
      </c>
      <c r="D699" s="13">
        <v>18777.900000000001</v>
      </c>
      <c r="E699" s="13">
        <v>18615.599999999999</v>
      </c>
      <c r="F699" t="s">
        <v>623</v>
      </c>
      <c r="G699" s="4">
        <v>-4.8999999999999998E-3</v>
      </c>
    </row>
    <row r="700" spans="1:7" x14ac:dyDescent="0.3">
      <c r="A700" s="25">
        <v>45084</v>
      </c>
      <c r="B700" s="13">
        <v>18726.400000000001</v>
      </c>
      <c r="C700" s="13">
        <v>18665.599999999999</v>
      </c>
      <c r="D700" s="13">
        <v>18738.95</v>
      </c>
      <c r="E700" s="13">
        <v>18636</v>
      </c>
      <c r="F700" t="s">
        <v>622</v>
      </c>
      <c r="G700" s="4">
        <v>6.7999999999999996E-3</v>
      </c>
    </row>
    <row r="701" spans="1:7" x14ac:dyDescent="0.3">
      <c r="A701" s="25">
        <v>45083</v>
      </c>
      <c r="B701" s="13">
        <v>18599</v>
      </c>
      <c r="C701" s="13">
        <v>18600.8</v>
      </c>
      <c r="D701" s="13">
        <v>18622.75</v>
      </c>
      <c r="E701" s="13">
        <v>18531.599999999999</v>
      </c>
      <c r="F701" t="s">
        <v>621</v>
      </c>
      <c r="G701" s="4">
        <v>2.9999999999999997E-4</v>
      </c>
    </row>
    <row r="702" spans="1:7" x14ac:dyDescent="0.3">
      <c r="A702" s="25">
        <v>45082</v>
      </c>
      <c r="B702" s="13">
        <v>18593.849999999999</v>
      </c>
      <c r="C702" s="13">
        <v>18612</v>
      </c>
      <c r="D702" s="13">
        <v>18640.150000000001</v>
      </c>
      <c r="E702" s="13">
        <v>18582.8</v>
      </c>
      <c r="F702" t="s">
        <v>620</v>
      </c>
      <c r="G702" s="4">
        <v>3.2000000000000002E-3</v>
      </c>
    </row>
    <row r="703" spans="1:7" x14ac:dyDescent="0.3">
      <c r="A703" s="25">
        <v>45079</v>
      </c>
      <c r="B703" s="13">
        <v>18534.099999999999</v>
      </c>
      <c r="C703" s="13">
        <v>18550.849999999999</v>
      </c>
      <c r="D703" s="13">
        <v>18573.7</v>
      </c>
      <c r="E703" s="13">
        <v>18478.400000000001</v>
      </c>
      <c r="F703" t="s">
        <v>619</v>
      </c>
      <c r="G703" s="4">
        <v>2.5000000000000001E-3</v>
      </c>
    </row>
    <row r="704" spans="1:7" x14ac:dyDescent="0.3">
      <c r="A704" s="25">
        <v>45078</v>
      </c>
      <c r="B704" s="13">
        <v>18487.75</v>
      </c>
      <c r="C704" s="13">
        <v>18579.400000000001</v>
      </c>
      <c r="D704" s="13">
        <v>18580.3</v>
      </c>
      <c r="E704" s="13">
        <v>18464.55</v>
      </c>
      <c r="F704" t="s">
        <v>618</v>
      </c>
      <c r="G704" s="4">
        <v>-2.5000000000000001E-3</v>
      </c>
    </row>
    <row r="705" spans="1:7" x14ac:dyDescent="0.3">
      <c r="A705" s="25">
        <v>45077</v>
      </c>
      <c r="B705" s="13">
        <v>18534.400000000001</v>
      </c>
      <c r="C705" s="13">
        <v>18594.2</v>
      </c>
      <c r="D705" s="13">
        <v>18603.900000000001</v>
      </c>
      <c r="E705" s="13">
        <v>18483.849999999999</v>
      </c>
      <c r="F705" t="s">
        <v>617</v>
      </c>
      <c r="G705" s="4">
        <v>-5.3E-3</v>
      </c>
    </row>
    <row r="706" spans="1:7" x14ac:dyDescent="0.3">
      <c r="A706" s="25">
        <v>45076</v>
      </c>
      <c r="B706" s="13">
        <v>18633.849999999999</v>
      </c>
      <c r="C706" s="13">
        <v>18606.650000000001</v>
      </c>
      <c r="D706" s="13">
        <v>18662.45</v>
      </c>
      <c r="E706" s="13">
        <v>18575.5</v>
      </c>
      <c r="F706" t="s">
        <v>616</v>
      </c>
      <c r="G706" s="4">
        <v>1.9E-3</v>
      </c>
    </row>
    <row r="707" spans="1:7" x14ac:dyDescent="0.3">
      <c r="A707" s="25">
        <v>45075</v>
      </c>
      <c r="B707" s="13">
        <v>18598.650000000001</v>
      </c>
      <c r="C707" s="13">
        <v>18619.150000000001</v>
      </c>
      <c r="D707" s="13">
        <v>18641.2</v>
      </c>
      <c r="E707" s="13">
        <v>18581.25</v>
      </c>
      <c r="F707" t="s">
        <v>615</v>
      </c>
      <c r="G707" s="4">
        <v>5.4000000000000003E-3</v>
      </c>
    </row>
    <row r="708" spans="1:7" x14ac:dyDescent="0.3">
      <c r="A708" s="25">
        <v>45072</v>
      </c>
      <c r="B708" s="13">
        <v>18499.349999999999</v>
      </c>
      <c r="C708" s="13">
        <v>18368.349999999999</v>
      </c>
      <c r="D708" s="13">
        <v>18508.55</v>
      </c>
      <c r="E708" s="13">
        <v>18333.150000000001</v>
      </c>
      <c r="F708" t="s">
        <v>614</v>
      </c>
      <c r="G708" s="4">
        <v>9.7000000000000003E-3</v>
      </c>
    </row>
    <row r="709" spans="1:7" x14ac:dyDescent="0.3">
      <c r="A709" s="25">
        <v>45071</v>
      </c>
      <c r="B709" s="13">
        <v>18321.150000000001</v>
      </c>
      <c r="C709" s="13">
        <v>18268.900000000001</v>
      </c>
      <c r="D709" s="13">
        <v>18338.099999999999</v>
      </c>
      <c r="E709" s="13">
        <v>18202.400000000001</v>
      </c>
      <c r="F709" t="s">
        <v>613</v>
      </c>
      <c r="G709" s="4">
        <v>2E-3</v>
      </c>
    </row>
    <row r="710" spans="1:7" x14ac:dyDescent="0.3">
      <c r="A710" s="25">
        <v>45070</v>
      </c>
      <c r="B710" s="13">
        <v>18285.400000000001</v>
      </c>
      <c r="C710" s="13">
        <v>18294.8</v>
      </c>
      <c r="D710" s="13">
        <v>18392.599999999999</v>
      </c>
      <c r="E710" s="13">
        <v>18262.95</v>
      </c>
      <c r="F710" t="s">
        <v>612</v>
      </c>
      <c r="G710" s="4">
        <v>-3.3999999999999998E-3</v>
      </c>
    </row>
    <row r="711" spans="1:7" x14ac:dyDescent="0.3">
      <c r="A711" s="25">
        <v>45069</v>
      </c>
      <c r="B711" s="13">
        <v>18348</v>
      </c>
      <c r="C711" s="13">
        <v>18362.900000000001</v>
      </c>
      <c r="D711" s="13">
        <v>18419.75</v>
      </c>
      <c r="E711" s="13">
        <v>18324.2</v>
      </c>
      <c r="F711" t="s">
        <v>611</v>
      </c>
      <c r="G711" s="4">
        <v>1.8E-3</v>
      </c>
    </row>
    <row r="712" spans="1:7" x14ac:dyDescent="0.3">
      <c r="A712" s="25">
        <v>45068</v>
      </c>
      <c r="B712" s="13">
        <v>18314.400000000001</v>
      </c>
      <c r="C712" s="13">
        <v>18201.099999999999</v>
      </c>
      <c r="D712" s="13">
        <v>18335.25</v>
      </c>
      <c r="E712" s="13">
        <v>18178.849999999999</v>
      </c>
      <c r="F712" t="s">
        <v>610</v>
      </c>
      <c r="G712" s="4">
        <v>6.1000000000000004E-3</v>
      </c>
    </row>
    <row r="713" spans="1:7" x14ac:dyDescent="0.3">
      <c r="A713" s="25">
        <v>45065</v>
      </c>
      <c r="B713" s="13">
        <v>18203.400000000001</v>
      </c>
      <c r="C713" s="13">
        <v>18186.150000000001</v>
      </c>
      <c r="D713" s="13">
        <v>18218.099999999999</v>
      </c>
      <c r="E713" s="13">
        <v>18060.400000000001</v>
      </c>
      <c r="F713" t="s">
        <v>609</v>
      </c>
      <c r="G713" s="4">
        <v>4.1000000000000003E-3</v>
      </c>
    </row>
    <row r="714" spans="1:7" x14ac:dyDescent="0.3">
      <c r="A714" s="25">
        <v>45064</v>
      </c>
      <c r="B714" s="13">
        <v>18129.95</v>
      </c>
      <c r="C714" s="13">
        <v>18287.5</v>
      </c>
      <c r="D714" s="13">
        <v>18297.2</v>
      </c>
      <c r="E714" s="13">
        <v>18104.849999999999</v>
      </c>
      <c r="F714" t="s">
        <v>608</v>
      </c>
      <c r="G714" s="4">
        <v>-2.8E-3</v>
      </c>
    </row>
    <row r="715" spans="1:7" x14ac:dyDescent="0.3">
      <c r="A715" s="25">
        <v>45063</v>
      </c>
      <c r="B715" s="13">
        <v>18181.75</v>
      </c>
      <c r="C715" s="13">
        <v>18300.45</v>
      </c>
      <c r="D715" s="13">
        <v>18309</v>
      </c>
      <c r="E715" s="13">
        <v>18115.349999999999</v>
      </c>
      <c r="F715" t="s">
        <v>607</v>
      </c>
      <c r="G715" s="4">
        <v>-5.7000000000000002E-3</v>
      </c>
    </row>
    <row r="716" spans="1:7" x14ac:dyDescent="0.3">
      <c r="A716" s="25">
        <v>45062</v>
      </c>
      <c r="B716" s="13">
        <v>18286.5</v>
      </c>
      <c r="C716" s="13">
        <v>18432.349999999999</v>
      </c>
      <c r="D716" s="13">
        <v>18432.349999999999</v>
      </c>
      <c r="E716" s="13">
        <v>18264.349999999999</v>
      </c>
      <c r="F716" t="s">
        <v>606</v>
      </c>
      <c r="G716" s="4">
        <v>-6.1000000000000004E-3</v>
      </c>
    </row>
    <row r="717" spans="1:7" x14ac:dyDescent="0.3">
      <c r="A717" s="25">
        <v>45061</v>
      </c>
      <c r="B717" s="13">
        <v>18398.849999999999</v>
      </c>
      <c r="C717" s="13">
        <v>18339.3</v>
      </c>
      <c r="D717" s="13">
        <v>18458.900000000001</v>
      </c>
      <c r="E717" s="13">
        <v>18287.900000000001</v>
      </c>
      <c r="F717" t="s">
        <v>605</v>
      </c>
      <c r="G717" s="4">
        <v>4.5999999999999999E-3</v>
      </c>
    </row>
    <row r="718" spans="1:7" x14ac:dyDescent="0.3">
      <c r="A718" s="25">
        <v>45058</v>
      </c>
      <c r="B718" s="13">
        <v>18314.8</v>
      </c>
      <c r="C718" s="13">
        <v>18273.75</v>
      </c>
      <c r="D718" s="13">
        <v>18342.75</v>
      </c>
      <c r="E718" s="13">
        <v>18194.55</v>
      </c>
      <c r="F718" t="s">
        <v>604</v>
      </c>
      <c r="G718" s="4">
        <v>1E-3</v>
      </c>
    </row>
    <row r="719" spans="1:7" x14ac:dyDescent="0.3">
      <c r="A719" s="25">
        <v>45057</v>
      </c>
      <c r="B719" s="13">
        <v>18297</v>
      </c>
      <c r="C719" s="13">
        <v>18357.8</v>
      </c>
      <c r="D719" s="13">
        <v>18389.7</v>
      </c>
      <c r="E719" s="13">
        <v>18270.400000000001</v>
      </c>
      <c r="F719" t="s">
        <v>603</v>
      </c>
      <c r="G719" s="4">
        <v>-1E-3</v>
      </c>
    </row>
    <row r="720" spans="1:7" x14ac:dyDescent="0.3">
      <c r="A720" s="25">
        <v>45056</v>
      </c>
      <c r="B720" s="13">
        <v>18315.099999999999</v>
      </c>
      <c r="C720" s="13">
        <v>18313.599999999999</v>
      </c>
      <c r="D720" s="13">
        <v>18326.75</v>
      </c>
      <c r="E720" s="13">
        <v>18211.95</v>
      </c>
      <c r="F720" t="s">
        <v>602</v>
      </c>
      <c r="G720" s="4">
        <v>2.7000000000000001E-3</v>
      </c>
    </row>
    <row r="721" spans="1:7" x14ac:dyDescent="0.3">
      <c r="A721" s="25">
        <v>45055</v>
      </c>
      <c r="B721" s="13">
        <v>18265.95</v>
      </c>
      <c r="C721" s="13">
        <v>18303.400000000001</v>
      </c>
      <c r="D721" s="13">
        <v>18344.2</v>
      </c>
      <c r="E721" s="13">
        <v>18229.650000000001</v>
      </c>
      <c r="F721" t="s">
        <v>601</v>
      </c>
      <c r="G721" s="4">
        <v>1E-4</v>
      </c>
    </row>
    <row r="722" spans="1:7" x14ac:dyDescent="0.3">
      <c r="A722" s="25">
        <v>45054</v>
      </c>
      <c r="B722" s="13">
        <v>18264.400000000001</v>
      </c>
      <c r="C722" s="13">
        <v>18120.599999999999</v>
      </c>
      <c r="D722" s="13">
        <v>18286.95</v>
      </c>
      <c r="E722" s="13">
        <v>18100.3</v>
      </c>
      <c r="F722" t="s">
        <v>600</v>
      </c>
      <c r="G722" s="4">
        <v>1.0800000000000001E-2</v>
      </c>
    </row>
    <row r="723" spans="1:7" x14ac:dyDescent="0.3">
      <c r="A723" s="25">
        <v>45051</v>
      </c>
      <c r="B723" s="13">
        <v>18069</v>
      </c>
      <c r="C723" s="13">
        <v>18117.3</v>
      </c>
      <c r="D723" s="13">
        <v>18216.95</v>
      </c>
      <c r="E723" s="13">
        <v>18055.45</v>
      </c>
      <c r="F723" t="s">
        <v>599</v>
      </c>
      <c r="G723" s="4">
        <v>-1.0200000000000001E-2</v>
      </c>
    </row>
    <row r="724" spans="1:7" x14ac:dyDescent="0.3">
      <c r="A724" s="25">
        <v>45050</v>
      </c>
      <c r="B724" s="13">
        <v>18255.8</v>
      </c>
      <c r="C724" s="13">
        <v>18081</v>
      </c>
      <c r="D724" s="13">
        <v>18267.45</v>
      </c>
      <c r="E724" s="13">
        <v>18066.7</v>
      </c>
      <c r="F724" t="s">
        <v>598</v>
      </c>
      <c r="G724" s="4">
        <v>9.1999999999999998E-3</v>
      </c>
    </row>
    <row r="725" spans="1:7" x14ac:dyDescent="0.3">
      <c r="A725" s="25">
        <v>45049</v>
      </c>
      <c r="B725" s="13">
        <v>18089.849999999999</v>
      </c>
      <c r="C725" s="13">
        <v>18113.8</v>
      </c>
      <c r="D725" s="13">
        <v>18116.349999999999</v>
      </c>
      <c r="E725" s="13">
        <v>18042.400000000001</v>
      </c>
      <c r="F725" t="s">
        <v>597</v>
      </c>
      <c r="G725" s="4">
        <v>-3.2000000000000002E-3</v>
      </c>
    </row>
    <row r="726" spans="1:7" x14ac:dyDescent="0.3">
      <c r="A726" s="25">
        <v>45048</v>
      </c>
      <c r="B726" s="13">
        <v>18147.650000000001</v>
      </c>
      <c r="C726" s="13">
        <v>18124.8</v>
      </c>
      <c r="D726" s="13">
        <v>18180.25</v>
      </c>
      <c r="E726" s="13">
        <v>18101.75</v>
      </c>
      <c r="F726" t="s">
        <v>596</v>
      </c>
      <c r="G726" s="4">
        <v>4.5999999999999999E-3</v>
      </c>
    </row>
    <row r="727" spans="1:7" x14ac:dyDescent="0.3">
      <c r="A727" s="25">
        <v>45044</v>
      </c>
      <c r="B727" s="13">
        <v>18065</v>
      </c>
      <c r="C727" s="13">
        <v>17950.400000000001</v>
      </c>
      <c r="D727" s="13">
        <v>18089.150000000001</v>
      </c>
      <c r="E727" s="13">
        <v>17885.3</v>
      </c>
      <c r="F727" t="s">
        <v>595</v>
      </c>
      <c r="G727" s="4">
        <v>8.3999999999999995E-3</v>
      </c>
    </row>
    <row r="728" spans="1:7" x14ac:dyDescent="0.3">
      <c r="A728" s="25">
        <v>45043</v>
      </c>
      <c r="B728" s="13">
        <v>17915.05</v>
      </c>
      <c r="C728" s="13">
        <v>17813.099999999999</v>
      </c>
      <c r="D728" s="13">
        <v>17931.599999999999</v>
      </c>
      <c r="E728" s="13">
        <v>17797.900000000001</v>
      </c>
      <c r="F728" t="s">
        <v>594</v>
      </c>
      <c r="G728" s="4">
        <v>5.7000000000000002E-3</v>
      </c>
    </row>
    <row r="729" spans="1:7" x14ac:dyDescent="0.3">
      <c r="A729" s="25">
        <v>45042</v>
      </c>
      <c r="B729" s="13">
        <v>17813.599999999999</v>
      </c>
      <c r="C729" s="13">
        <v>17767.3</v>
      </c>
      <c r="D729" s="13">
        <v>17827.75</v>
      </c>
      <c r="E729" s="13">
        <v>17711.2</v>
      </c>
      <c r="F729" t="s">
        <v>593</v>
      </c>
      <c r="G729" s="4">
        <v>2.5000000000000001E-3</v>
      </c>
    </row>
    <row r="730" spans="1:7" x14ac:dyDescent="0.3">
      <c r="A730" s="25">
        <v>45041</v>
      </c>
      <c r="B730" s="13">
        <v>17769.25</v>
      </c>
      <c r="C730" s="13">
        <v>17761.55</v>
      </c>
      <c r="D730" s="13">
        <v>17807.45</v>
      </c>
      <c r="E730" s="13">
        <v>17716.849999999999</v>
      </c>
      <c r="F730" t="s">
        <v>592</v>
      </c>
      <c r="G730" s="4">
        <v>1.5E-3</v>
      </c>
    </row>
    <row r="731" spans="1:7" x14ac:dyDescent="0.3">
      <c r="A731" s="25">
        <v>45040</v>
      </c>
      <c r="B731" s="13">
        <v>17743.400000000001</v>
      </c>
      <c r="C731" s="13">
        <v>17707.55</v>
      </c>
      <c r="D731" s="13">
        <v>17754.5</v>
      </c>
      <c r="E731" s="13">
        <v>17612.5</v>
      </c>
      <c r="F731" t="s">
        <v>591</v>
      </c>
      <c r="G731" s="4">
        <v>6.7999999999999996E-3</v>
      </c>
    </row>
    <row r="732" spans="1:7" x14ac:dyDescent="0.3">
      <c r="A732" s="25">
        <v>45037</v>
      </c>
      <c r="B732" s="13">
        <v>17624.05</v>
      </c>
      <c r="C732" s="13">
        <v>17639.75</v>
      </c>
      <c r="D732" s="13">
        <v>17663.2</v>
      </c>
      <c r="E732" s="13">
        <v>17553.95</v>
      </c>
      <c r="F732" t="s">
        <v>590</v>
      </c>
      <c r="G732" s="4">
        <v>0</v>
      </c>
    </row>
    <row r="733" spans="1:7" x14ac:dyDescent="0.3">
      <c r="A733" s="25">
        <v>45036</v>
      </c>
      <c r="B733" s="13">
        <v>17624.45</v>
      </c>
      <c r="C733" s="13">
        <v>17638.599999999999</v>
      </c>
      <c r="D733" s="13">
        <v>17684.45</v>
      </c>
      <c r="E733" s="13">
        <v>17584.349999999999</v>
      </c>
      <c r="F733" t="s">
        <v>589</v>
      </c>
      <c r="G733" s="4">
        <v>2.9999999999999997E-4</v>
      </c>
    </row>
    <row r="734" spans="1:7" x14ac:dyDescent="0.3">
      <c r="A734" s="25">
        <v>45035</v>
      </c>
      <c r="B734" s="13">
        <v>17618.75</v>
      </c>
      <c r="C734" s="13">
        <v>17653.349999999999</v>
      </c>
      <c r="D734" s="13">
        <v>17666.150000000001</v>
      </c>
      <c r="E734" s="13">
        <v>17579.849999999999</v>
      </c>
      <c r="F734" t="s">
        <v>588</v>
      </c>
      <c r="G734" s="4">
        <v>-2.3E-3</v>
      </c>
    </row>
    <row r="735" spans="1:7" x14ac:dyDescent="0.3">
      <c r="A735" s="25">
        <v>45034</v>
      </c>
      <c r="B735" s="13">
        <v>17660.150000000001</v>
      </c>
      <c r="C735" s="13">
        <v>17766.599999999999</v>
      </c>
      <c r="D735" s="13">
        <v>17766.599999999999</v>
      </c>
      <c r="E735" s="13">
        <v>17610.2</v>
      </c>
      <c r="F735" t="s">
        <v>587</v>
      </c>
      <c r="G735" s="4">
        <v>-2.5999999999999999E-3</v>
      </c>
    </row>
    <row r="736" spans="1:7" x14ac:dyDescent="0.3">
      <c r="A736" s="25">
        <v>45033</v>
      </c>
      <c r="B736" s="13">
        <v>17706.849999999999</v>
      </c>
      <c r="C736" s="13">
        <v>17863</v>
      </c>
      <c r="D736" s="13">
        <v>17863</v>
      </c>
      <c r="E736" s="13">
        <v>17574.05</v>
      </c>
      <c r="F736" t="s">
        <v>586</v>
      </c>
      <c r="G736" s="4">
        <v>-6.7999999999999996E-3</v>
      </c>
    </row>
    <row r="737" spans="1:7" x14ac:dyDescent="0.3">
      <c r="A737" s="25">
        <v>45029</v>
      </c>
      <c r="B737" s="13">
        <v>17828</v>
      </c>
      <c r="C737" s="13">
        <v>17807.3</v>
      </c>
      <c r="D737" s="13">
        <v>17842.150000000001</v>
      </c>
      <c r="E737" s="13">
        <v>17729.650000000001</v>
      </c>
      <c r="F737" t="s">
        <v>585</v>
      </c>
      <c r="G737" s="4">
        <v>8.9999999999999998E-4</v>
      </c>
    </row>
    <row r="738" spans="1:7" x14ac:dyDescent="0.3">
      <c r="A738" s="25">
        <v>45028</v>
      </c>
      <c r="B738" s="13">
        <v>17812.400000000001</v>
      </c>
      <c r="C738" s="13">
        <v>17759.55</v>
      </c>
      <c r="D738" s="13">
        <v>17825.75</v>
      </c>
      <c r="E738" s="13">
        <v>17717.25</v>
      </c>
      <c r="F738" t="s">
        <v>584</v>
      </c>
      <c r="G738" s="4">
        <v>5.1000000000000004E-3</v>
      </c>
    </row>
    <row r="739" spans="1:7" x14ac:dyDescent="0.3">
      <c r="A739" s="25">
        <v>45027</v>
      </c>
      <c r="B739" s="13">
        <v>17722.3</v>
      </c>
      <c r="C739" s="13">
        <v>17704.8</v>
      </c>
      <c r="D739" s="13">
        <v>17748.75</v>
      </c>
      <c r="E739" s="13">
        <v>17655.150000000001</v>
      </c>
      <c r="F739" t="s">
        <v>583</v>
      </c>
      <c r="G739" s="4">
        <v>5.5999999999999999E-3</v>
      </c>
    </row>
    <row r="740" spans="1:7" x14ac:dyDescent="0.3">
      <c r="A740" s="25">
        <v>45026</v>
      </c>
      <c r="B740" s="13">
        <v>17624.05</v>
      </c>
      <c r="C740" s="13">
        <v>17634.900000000001</v>
      </c>
      <c r="D740" s="13">
        <v>17694.099999999999</v>
      </c>
      <c r="E740" s="13">
        <v>17597.95</v>
      </c>
      <c r="F740" t="s">
        <v>582</v>
      </c>
      <c r="G740" s="4">
        <v>1.4E-3</v>
      </c>
    </row>
    <row r="741" spans="1:7" x14ac:dyDescent="0.3">
      <c r="A741" s="25">
        <v>45022</v>
      </c>
      <c r="B741" s="13">
        <v>17599.150000000001</v>
      </c>
      <c r="C741" s="13">
        <v>17533.849999999999</v>
      </c>
      <c r="D741" s="13">
        <v>17638.7</v>
      </c>
      <c r="E741" s="13">
        <v>17502.849999999999</v>
      </c>
      <c r="F741" t="s">
        <v>581</v>
      </c>
      <c r="G741" s="4">
        <v>2.3999999999999998E-3</v>
      </c>
    </row>
    <row r="742" spans="1:7" x14ac:dyDescent="0.3">
      <c r="A742" s="25">
        <v>45021</v>
      </c>
      <c r="B742" s="13">
        <v>17557.05</v>
      </c>
      <c r="C742" s="13">
        <v>17422.3</v>
      </c>
      <c r="D742" s="13">
        <v>17570.55</v>
      </c>
      <c r="E742" s="13">
        <v>17402.7</v>
      </c>
      <c r="F742" t="s">
        <v>580</v>
      </c>
      <c r="G742" s="4">
        <v>9.1000000000000004E-3</v>
      </c>
    </row>
    <row r="743" spans="1:7" x14ac:dyDescent="0.3">
      <c r="A743" s="25">
        <v>45019</v>
      </c>
      <c r="B743" s="13">
        <v>17398.05</v>
      </c>
      <c r="C743" s="13">
        <v>17427.95</v>
      </c>
      <c r="D743" s="13">
        <v>17428.05</v>
      </c>
      <c r="E743" s="13">
        <v>17312.75</v>
      </c>
      <c r="F743" t="s">
        <v>579</v>
      </c>
      <c r="G743" s="4">
        <v>2.2000000000000001E-3</v>
      </c>
    </row>
    <row r="744" spans="1:7" x14ac:dyDescent="0.3">
      <c r="A744" s="25">
        <v>45016</v>
      </c>
      <c r="B744" s="13">
        <v>17359.75</v>
      </c>
      <c r="C744" s="13">
        <v>17210.349999999999</v>
      </c>
      <c r="D744" s="13">
        <v>17381.599999999999</v>
      </c>
      <c r="E744" s="13">
        <v>17204.650000000001</v>
      </c>
      <c r="F744" t="s">
        <v>578</v>
      </c>
      <c r="G744" s="4">
        <v>1.6299999999999999E-2</v>
      </c>
    </row>
    <row r="745" spans="1:7" x14ac:dyDescent="0.3">
      <c r="A745" s="25">
        <v>45014</v>
      </c>
      <c r="B745" s="13">
        <v>17080.7</v>
      </c>
      <c r="C745" s="13">
        <v>16977.3</v>
      </c>
      <c r="D745" s="13">
        <v>17126.150000000001</v>
      </c>
      <c r="E745" s="13">
        <v>16940.599999999999</v>
      </c>
      <c r="F745" t="s">
        <v>577</v>
      </c>
      <c r="G745" s="4">
        <v>7.6E-3</v>
      </c>
    </row>
    <row r="746" spans="1:7" x14ac:dyDescent="0.3">
      <c r="A746" s="25">
        <v>45013</v>
      </c>
      <c r="B746" s="13">
        <v>16951.7</v>
      </c>
      <c r="C746" s="13">
        <v>17031.75</v>
      </c>
      <c r="D746" s="13">
        <v>17061.75</v>
      </c>
      <c r="E746" s="13">
        <v>16913.75</v>
      </c>
      <c r="F746" t="s">
        <v>576</v>
      </c>
      <c r="G746" s="4">
        <v>-2E-3</v>
      </c>
    </row>
    <row r="747" spans="1:7" x14ac:dyDescent="0.3">
      <c r="A747" s="25">
        <v>45012</v>
      </c>
      <c r="B747" s="13">
        <v>16985.7</v>
      </c>
      <c r="C747" s="13">
        <v>16984.3</v>
      </c>
      <c r="D747" s="13">
        <v>17091</v>
      </c>
      <c r="E747" s="13">
        <v>16918.55</v>
      </c>
      <c r="F747" t="s">
        <v>575</v>
      </c>
      <c r="G747" s="4">
        <v>2.3999999999999998E-3</v>
      </c>
    </row>
    <row r="748" spans="1:7" x14ac:dyDescent="0.3">
      <c r="A748" s="25">
        <v>45009</v>
      </c>
      <c r="B748" s="13">
        <v>16945.05</v>
      </c>
      <c r="C748" s="13">
        <v>17076.2</v>
      </c>
      <c r="D748" s="13">
        <v>17109.45</v>
      </c>
      <c r="E748" s="13">
        <v>16917.349999999999</v>
      </c>
      <c r="F748" t="s">
        <v>574</v>
      </c>
      <c r="G748" s="4">
        <v>-7.7000000000000002E-3</v>
      </c>
    </row>
    <row r="749" spans="1:7" x14ac:dyDescent="0.3">
      <c r="A749" s="25">
        <v>45008</v>
      </c>
      <c r="B749" s="13">
        <v>17076.900000000001</v>
      </c>
      <c r="C749" s="13">
        <v>17097.400000000001</v>
      </c>
      <c r="D749" s="13">
        <v>17205.400000000001</v>
      </c>
      <c r="E749" s="13">
        <v>17045.3</v>
      </c>
      <c r="F749" t="s">
        <v>573</v>
      </c>
      <c r="G749" s="4">
        <v>-4.4000000000000003E-3</v>
      </c>
    </row>
    <row r="750" spans="1:7" x14ac:dyDescent="0.3">
      <c r="A750" s="25">
        <v>45007</v>
      </c>
      <c r="B750" s="13">
        <v>17151.900000000001</v>
      </c>
      <c r="C750" s="13">
        <v>17177.45</v>
      </c>
      <c r="D750" s="13">
        <v>17207.25</v>
      </c>
      <c r="E750" s="13">
        <v>17107.849999999999</v>
      </c>
      <c r="G750" s="4">
        <v>2.5999999999999999E-3</v>
      </c>
    </row>
    <row r="751" spans="1:7" x14ac:dyDescent="0.3">
      <c r="A751" s="25">
        <v>45006</v>
      </c>
      <c r="B751" s="13">
        <v>17107.5</v>
      </c>
      <c r="C751" s="13">
        <v>17060.400000000001</v>
      </c>
      <c r="D751" s="13">
        <v>17127.7</v>
      </c>
      <c r="E751" s="13">
        <v>17016</v>
      </c>
      <c r="F751" t="s">
        <v>572</v>
      </c>
      <c r="G751" s="4">
        <v>7.0000000000000001E-3</v>
      </c>
    </row>
    <row r="752" spans="1:7" x14ac:dyDescent="0.3">
      <c r="A752" s="25">
        <v>45005</v>
      </c>
      <c r="B752" s="13">
        <v>16988.400000000001</v>
      </c>
      <c r="C752" s="13">
        <v>17066.599999999999</v>
      </c>
      <c r="D752" s="13">
        <v>17066.599999999999</v>
      </c>
      <c r="E752" s="13">
        <v>16828.349999999999</v>
      </c>
      <c r="F752" t="s">
        <v>571</v>
      </c>
      <c r="G752" s="4">
        <v>-6.4999999999999997E-3</v>
      </c>
    </row>
    <row r="753" spans="1:7" x14ac:dyDescent="0.3">
      <c r="A753" s="25">
        <v>45002</v>
      </c>
      <c r="B753" s="13">
        <v>17100.05</v>
      </c>
      <c r="C753" s="13">
        <v>17111.8</v>
      </c>
      <c r="D753" s="13">
        <v>17145.8</v>
      </c>
      <c r="E753" s="13">
        <v>16958.150000000001</v>
      </c>
      <c r="F753" t="s">
        <v>570</v>
      </c>
      <c r="G753" s="4">
        <v>6.7000000000000002E-3</v>
      </c>
    </row>
    <row r="754" spans="1:7" x14ac:dyDescent="0.3">
      <c r="A754" s="25">
        <v>45001</v>
      </c>
      <c r="B754" s="13">
        <v>16985.599999999999</v>
      </c>
      <c r="C754" s="13">
        <v>16994.650000000001</v>
      </c>
      <c r="D754" s="13">
        <v>17062.45</v>
      </c>
      <c r="E754" s="13">
        <v>16850.150000000001</v>
      </c>
      <c r="F754" t="s">
        <v>569</v>
      </c>
      <c r="G754" s="4">
        <v>8.0000000000000004E-4</v>
      </c>
    </row>
    <row r="755" spans="1:7" x14ac:dyDescent="0.3">
      <c r="A755" s="25">
        <v>45000</v>
      </c>
      <c r="B755" s="13">
        <v>16972.150000000001</v>
      </c>
      <c r="C755" s="13">
        <v>17166.45</v>
      </c>
      <c r="D755" s="13">
        <v>17211.349999999999</v>
      </c>
      <c r="E755" s="13">
        <v>16938.900000000001</v>
      </c>
      <c r="F755" t="s">
        <v>568</v>
      </c>
      <c r="G755" s="4">
        <v>-4.1999999999999997E-3</v>
      </c>
    </row>
    <row r="756" spans="1:7" x14ac:dyDescent="0.3">
      <c r="A756" s="25">
        <v>44999</v>
      </c>
      <c r="B756" s="13">
        <v>17043.3</v>
      </c>
      <c r="C756" s="13">
        <v>17160.55</v>
      </c>
      <c r="D756" s="13">
        <v>17224.650000000001</v>
      </c>
      <c r="E756" s="13">
        <v>16987.099999999999</v>
      </c>
      <c r="F756" t="s">
        <v>567</v>
      </c>
      <c r="G756" s="4">
        <v>-6.4999999999999997E-3</v>
      </c>
    </row>
    <row r="757" spans="1:7" x14ac:dyDescent="0.3">
      <c r="A757" s="25">
        <v>44998</v>
      </c>
      <c r="B757" s="13">
        <v>17154.3</v>
      </c>
      <c r="C757" s="13">
        <v>17421.900000000001</v>
      </c>
      <c r="D757" s="13">
        <v>17529.900000000001</v>
      </c>
      <c r="E757" s="13">
        <v>17113.45</v>
      </c>
      <c r="F757" t="s">
        <v>566</v>
      </c>
      <c r="G757" s="4">
        <v>-1.49E-2</v>
      </c>
    </row>
    <row r="758" spans="1:7" x14ac:dyDescent="0.3">
      <c r="A758" s="25">
        <v>44995</v>
      </c>
      <c r="B758" s="13">
        <v>17412.900000000001</v>
      </c>
      <c r="C758" s="13">
        <v>17443.8</v>
      </c>
      <c r="D758" s="13">
        <v>17451.5</v>
      </c>
      <c r="E758" s="13">
        <v>17324.349999999999</v>
      </c>
      <c r="F758" t="s">
        <v>565</v>
      </c>
      <c r="G758" s="4">
        <v>-0.01</v>
      </c>
    </row>
    <row r="759" spans="1:7" x14ac:dyDescent="0.3">
      <c r="A759" s="25">
        <v>44994</v>
      </c>
      <c r="B759" s="13">
        <v>17589.599999999999</v>
      </c>
      <c r="C759" s="13">
        <v>17772.05</v>
      </c>
      <c r="D759" s="13">
        <v>17772.349999999999</v>
      </c>
      <c r="E759" s="13">
        <v>17573.599999999999</v>
      </c>
      <c r="F759" t="s">
        <v>564</v>
      </c>
      <c r="G759" s="4">
        <v>-9.2999999999999992E-3</v>
      </c>
    </row>
    <row r="760" spans="1:7" x14ac:dyDescent="0.3">
      <c r="A760" s="25">
        <v>44993</v>
      </c>
      <c r="B760" s="13">
        <v>17754.400000000001</v>
      </c>
      <c r="C760" s="13">
        <v>17665.75</v>
      </c>
      <c r="D760" s="13">
        <v>17766.5</v>
      </c>
      <c r="E760" s="13">
        <v>17602.25</v>
      </c>
      <c r="F760" t="s">
        <v>563</v>
      </c>
      <c r="G760" s="4">
        <v>2.3999999999999998E-3</v>
      </c>
    </row>
    <row r="761" spans="1:7" x14ac:dyDescent="0.3">
      <c r="A761" s="25">
        <v>44991</v>
      </c>
      <c r="B761" s="13">
        <v>17711.45</v>
      </c>
      <c r="C761" s="13">
        <v>17680.349999999999</v>
      </c>
      <c r="D761" s="13">
        <v>17799.95</v>
      </c>
      <c r="E761" s="13">
        <v>17671.95</v>
      </c>
      <c r="F761" t="s">
        <v>562</v>
      </c>
      <c r="G761" s="4">
        <v>6.7000000000000002E-3</v>
      </c>
    </row>
    <row r="762" spans="1:7" x14ac:dyDescent="0.3">
      <c r="A762" s="25">
        <v>44988</v>
      </c>
      <c r="B762" s="13">
        <v>17594.349999999999</v>
      </c>
      <c r="C762" s="13">
        <v>17451.25</v>
      </c>
      <c r="D762" s="13">
        <v>17644.75</v>
      </c>
      <c r="E762" s="13">
        <v>17427.7</v>
      </c>
      <c r="F762" t="s">
        <v>561</v>
      </c>
      <c r="G762" s="4">
        <v>1.5699999999999999E-2</v>
      </c>
    </row>
    <row r="763" spans="1:7" x14ac:dyDescent="0.3">
      <c r="A763" s="25">
        <v>44987</v>
      </c>
      <c r="B763" s="13">
        <v>17321.900000000001</v>
      </c>
      <c r="C763" s="13">
        <v>17421.5</v>
      </c>
      <c r="D763" s="13">
        <v>17445.8</v>
      </c>
      <c r="E763" s="13">
        <v>17306</v>
      </c>
      <c r="F763" t="s">
        <v>560</v>
      </c>
      <c r="G763" s="4">
        <v>-7.4000000000000003E-3</v>
      </c>
    </row>
    <row r="764" spans="1:7" x14ac:dyDescent="0.3">
      <c r="A764" s="25">
        <v>44986</v>
      </c>
      <c r="B764" s="13">
        <v>17450.900000000001</v>
      </c>
      <c r="C764" s="13">
        <v>17360.099999999999</v>
      </c>
      <c r="D764" s="13">
        <v>17467.75</v>
      </c>
      <c r="E764" s="13">
        <v>17345.25</v>
      </c>
      <c r="F764" t="s">
        <v>559</v>
      </c>
      <c r="G764" s="4">
        <v>8.5000000000000006E-3</v>
      </c>
    </row>
    <row r="765" spans="1:7" x14ac:dyDescent="0.3">
      <c r="A765" s="25">
        <v>44985</v>
      </c>
      <c r="B765" s="13">
        <v>17303.95</v>
      </c>
      <c r="C765" s="13">
        <v>17383.25</v>
      </c>
      <c r="D765" s="13">
        <v>17440.45</v>
      </c>
      <c r="E765" s="13">
        <v>17255.2</v>
      </c>
      <c r="F765" t="s">
        <v>558</v>
      </c>
      <c r="G765" s="4">
        <v>-5.1000000000000004E-3</v>
      </c>
    </row>
    <row r="766" spans="1:7" x14ac:dyDescent="0.3">
      <c r="A766" s="25">
        <v>44984</v>
      </c>
      <c r="B766" s="13">
        <v>17392.7</v>
      </c>
      <c r="C766" s="13">
        <v>17428.599999999999</v>
      </c>
      <c r="D766" s="13">
        <v>17451.599999999999</v>
      </c>
      <c r="E766" s="13">
        <v>17299</v>
      </c>
      <c r="F766" t="s">
        <v>557</v>
      </c>
      <c r="G766" s="4">
        <v>-4.1999999999999997E-3</v>
      </c>
    </row>
    <row r="767" spans="1:7" x14ac:dyDescent="0.3">
      <c r="A767" s="25">
        <v>44981</v>
      </c>
      <c r="B767" s="13">
        <v>17465.8</v>
      </c>
      <c r="C767" s="13">
        <v>17591.349999999999</v>
      </c>
      <c r="D767" s="13">
        <v>17599.75</v>
      </c>
      <c r="E767" s="13">
        <v>17421.8</v>
      </c>
      <c r="F767" t="s">
        <v>556</v>
      </c>
      <c r="G767" s="4">
        <v>-2.5999999999999999E-3</v>
      </c>
    </row>
    <row r="768" spans="1:7" x14ac:dyDescent="0.3">
      <c r="A768" s="25">
        <v>44980</v>
      </c>
      <c r="B768" s="13">
        <v>17511.25</v>
      </c>
      <c r="C768" s="13">
        <v>17574.650000000001</v>
      </c>
      <c r="D768" s="13">
        <v>17620.05</v>
      </c>
      <c r="E768" s="13">
        <v>17455.400000000001</v>
      </c>
      <c r="F768" t="s">
        <v>555</v>
      </c>
      <c r="G768" s="4">
        <v>-2.5000000000000001E-3</v>
      </c>
    </row>
    <row r="769" spans="1:7" x14ac:dyDescent="0.3">
      <c r="A769" s="25">
        <v>44979</v>
      </c>
      <c r="B769" s="13">
        <v>17554.3</v>
      </c>
      <c r="C769" s="13">
        <v>17755.349999999999</v>
      </c>
      <c r="D769" s="13">
        <v>17772.5</v>
      </c>
      <c r="E769" s="13">
        <v>17529.45</v>
      </c>
      <c r="F769" t="s">
        <v>554</v>
      </c>
      <c r="G769" s="4">
        <v>-1.5299999999999999E-2</v>
      </c>
    </row>
    <row r="770" spans="1:7" x14ac:dyDescent="0.3">
      <c r="A770" s="25">
        <v>44978</v>
      </c>
      <c r="B770" s="13">
        <v>17826.7</v>
      </c>
      <c r="C770" s="13">
        <v>17905.8</v>
      </c>
      <c r="D770" s="13">
        <v>17924.900000000001</v>
      </c>
      <c r="E770" s="13">
        <v>17800.3</v>
      </c>
      <c r="F770" t="s">
        <v>553</v>
      </c>
      <c r="G770" s="4">
        <v>-1E-3</v>
      </c>
    </row>
    <row r="771" spans="1:7" x14ac:dyDescent="0.3">
      <c r="A771" s="25">
        <v>44977</v>
      </c>
      <c r="B771" s="13">
        <v>17844.599999999999</v>
      </c>
      <c r="C771" s="13">
        <v>17965.55</v>
      </c>
      <c r="D771" s="13">
        <v>18004.349999999999</v>
      </c>
      <c r="E771" s="13">
        <v>17818.400000000001</v>
      </c>
      <c r="F771" t="s">
        <v>552</v>
      </c>
      <c r="G771" s="4">
        <v>-5.5999999999999999E-3</v>
      </c>
    </row>
    <row r="772" spans="1:7" x14ac:dyDescent="0.3">
      <c r="A772" s="25">
        <v>44974</v>
      </c>
      <c r="B772" s="13">
        <v>17944.2</v>
      </c>
      <c r="C772" s="13">
        <v>17974.849999999999</v>
      </c>
      <c r="D772" s="13">
        <v>18034.25</v>
      </c>
      <c r="E772" s="13">
        <v>17884.599999999999</v>
      </c>
      <c r="F772" t="s">
        <v>551</v>
      </c>
      <c r="G772" s="4">
        <v>-5.1000000000000004E-3</v>
      </c>
    </row>
    <row r="773" spans="1:7" x14ac:dyDescent="0.3">
      <c r="A773" s="25">
        <v>44973</v>
      </c>
      <c r="B773" s="13">
        <v>18035.849999999999</v>
      </c>
      <c r="C773" s="13">
        <v>18094.75</v>
      </c>
      <c r="D773" s="13">
        <v>18134.75</v>
      </c>
      <c r="E773" s="13">
        <v>18000.650000000001</v>
      </c>
      <c r="F773" t="s">
        <v>550</v>
      </c>
      <c r="G773" s="4">
        <v>1.1000000000000001E-3</v>
      </c>
    </row>
    <row r="774" spans="1:7" x14ac:dyDescent="0.3">
      <c r="A774" s="25">
        <v>44972</v>
      </c>
      <c r="B774" s="13">
        <v>18015.849999999999</v>
      </c>
      <c r="C774" s="13">
        <v>17896.599999999999</v>
      </c>
      <c r="D774" s="13">
        <v>18034.099999999999</v>
      </c>
      <c r="E774" s="13">
        <v>17853.8</v>
      </c>
      <c r="F774" t="s">
        <v>549</v>
      </c>
      <c r="G774" s="4">
        <v>4.7999999999999996E-3</v>
      </c>
    </row>
    <row r="775" spans="1:7" x14ac:dyDescent="0.3">
      <c r="A775" s="25">
        <v>44971</v>
      </c>
      <c r="B775" s="13">
        <v>17929.849999999999</v>
      </c>
      <c r="C775" s="13">
        <v>17840.349999999999</v>
      </c>
      <c r="D775" s="13">
        <v>17954.55</v>
      </c>
      <c r="E775" s="13">
        <v>17800.05</v>
      </c>
      <c r="F775" t="s">
        <v>548</v>
      </c>
      <c r="G775" s="4">
        <v>8.8999999999999999E-3</v>
      </c>
    </row>
    <row r="776" spans="1:7" x14ac:dyDescent="0.3">
      <c r="A776" s="25">
        <v>44970</v>
      </c>
      <c r="B776" s="13">
        <v>17770.900000000001</v>
      </c>
      <c r="C776" s="13">
        <v>17859.099999999999</v>
      </c>
      <c r="D776" s="13">
        <v>17880.7</v>
      </c>
      <c r="E776" s="13">
        <v>17719.75</v>
      </c>
      <c r="F776" t="s">
        <v>547</v>
      </c>
      <c r="G776" s="4">
        <v>-4.7999999999999996E-3</v>
      </c>
    </row>
    <row r="777" spans="1:7" x14ac:dyDescent="0.3">
      <c r="A777" s="25">
        <v>44967</v>
      </c>
      <c r="B777" s="13">
        <v>17856.5</v>
      </c>
      <c r="C777" s="13">
        <v>17847.55</v>
      </c>
      <c r="D777" s="13">
        <v>17876.95</v>
      </c>
      <c r="E777" s="13">
        <v>17801</v>
      </c>
      <c r="F777" t="s">
        <v>546</v>
      </c>
      <c r="G777" s="4">
        <v>-2.0999999999999999E-3</v>
      </c>
    </row>
    <row r="778" spans="1:7" x14ac:dyDescent="0.3">
      <c r="A778" s="25">
        <v>44966</v>
      </c>
      <c r="B778" s="13">
        <v>17893.45</v>
      </c>
      <c r="C778" s="13">
        <v>17885.5</v>
      </c>
      <c r="D778" s="13">
        <v>17916.900000000001</v>
      </c>
      <c r="E778" s="13">
        <v>17779.8</v>
      </c>
      <c r="F778" t="s">
        <v>545</v>
      </c>
      <c r="G778" s="4">
        <v>1.1999999999999999E-3</v>
      </c>
    </row>
    <row r="779" spans="1:7" x14ac:dyDescent="0.3">
      <c r="A779" s="25">
        <v>44965</v>
      </c>
      <c r="B779" s="13">
        <v>17871.7</v>
      </c>
      <c r="C779" s="13">
        <v>17750.3</v>
      </c>
      <c r="D779" s="13">
        <v>17898.7</v>
      </c>
      <c r="E779" s="13">
        <v>17744.150000000001</v>
      </c>
      <c r="F779" t="s">
        <v>544</v>
      </c>
      <c r="G779" s="4">
        <v>8.5000000000000006E-3</v>
      </c>
    </row>
    <row r="780" spans="1:7" x14ac:dyDescent="0.3">
      <c r="A780" s="25">
        <v>44964</v>
      </c>
      <c r="B780" s="13">
        <v>17721.5</v>
      </c>
      <c r="C780" s="13">
        <v>17790.099999999999</v>
      </c>
      <c r="D780" s="13">
        <v>17811.150000000001</v>
      </c>
      <c r="E780" s="13">
        <v>17652.55</v>
      </c>
      <c r="F780" t="s">
        <v>543</v>
      </c>
      <c r="G780" s="4">
        <v>-2.3999999999999998E-3</v>
      </c>
    </row>
    <row r="781" spans="1:7" x14ac:dyDescent="0.3">
      <c r="A781" s="25">
        <v>44963</v>
      </c>
      <c r="B781" s="13">
        <v>17764.599999999999</v>
      </c>
      <c r="C781" s="13">
        <v>17818.55</v>
      </c>
      <c r="D781" s="13">
        <v>17823.7</v>
      </c>
      <c r="E781" s="13">
        <v>17698.349999999999</v>
      </c>
      <c r="F781" t="s">
        <v>542</v>
      </c>
      <c r="G781" s="4">
        <v>-5.0000000000000001E-3</v>
      </c>
    </row>
    <row r="782" spans="1:7" x14ac:dyDescent="0.3">
      <c r="A782" s="25">
        <v>44960</v>
      </c>
      <c r="B782" s="13">
        <v>17854.05</v>
      </c>
      <c r="C782" s="13">
        <v>17721.75</v>
      </c>
      <c r="D782" s="13">
        <v>17870.3</v>
      </c>
      <c r="E782" s="13">
        <v>17584.2</v>
      </c>
      <c r="F782" t="s">
        <v>541</v>
      </c>
      <c r="G782" s="4">
        <v>1.38E-2</v>
      </c>
    </row>
    <row r="783" spans="1:7" x14ac:dyDescent="0.3">
      <c r="A783" s="25">
        <v>44959</v>
      </c>
      <c r="B783" s="13">
        <v>17610.400000000001</v>
      </c>
      <c r="C783" s="13">
        <v>17517.099999999999</v>
      </c>
      <c r="D783" s="13">
        <v>17653.900000000001</v>
      </c>
      <c r="E783" s="13">
        <v>17445.95</v>
      </c>
      <c r="F783" t="s">
        <v>540</v>
      </c>
      <c r="G783" s="4">
        <v>-2.9999999999999997E-4</v>
      </c>
    </row>
    <row r="784" spans="1:7" x14ac:dyDescent="0.3">
      <c r="A784" s="25">
        <v>44958</v>
      </c>
      <c r="B784" s="13">
        <v>17616.3</v>
      </c>
      <c r="C784" s="13">
        <v>17811.599999999999</v>
      </c>
      <c r="D784" s="13">
        <v>17972.2</v>
      </c>
      <c r="E784" s="13">
        <v>17353.400000000001</v>
      </c>
      <c r="F784" t="s">
        <v>539</v>
      </c>
      <c r="G784" s="4">
        <v>-2.5999999999999999E-3</v>
      </c>
    </row>
    <row r="785" spans="1:7" x14ac:dyDescent="0.3">
      <c r="A785" s="25">
        <v>44957</v>
      </c>
      <c r="B785" s="13">
        <v>17662.150000000001</v>
      </c>
      <c r="C785" s="13">
        <v>17731.45</v>
      </c>
      <c r="D785" s="13">
        <v>17735.7</v>
      </c>
      <c r="E785" s="13">
        <v>17537.55</v>
      </c>
      <c r="F785" t="s">
        <v>538</v>
      </c>
      <c r="G785" s="4">
        <v>6.9999999999999999E-4</v>
      </c>
    </row>
    <row r="786" spans="1:7" x14ac:dyDescent="0.3">
      <c r="A786" s="25">
        <v>44956</v>
      </c>
      <c r="B786" s="13">
        <v>17648.95</v>
      </c>
      <c r="C786" s="13">
        <v>17541.95</v>
      </c>
      <c r="D786" s="13">
        <v>17709.150000000001</v>
      </c>
      <c r="E786" s="13">
        <v>17405.55</v>
      </c>
      <c r="F786" t="s">
        <v>537</v>
      </c>
      <c r="G786" s="4">
        <v>2.5000000000000001E-3</v>
      </c>
    </row>
    <row r="787" spans="1:7" x14ac:dyDescent="0.3">
      <c r="A787" s="25">
        <v>44953</v>
      </c>
      <c r="B787" s="13">
        <v>17604.349999999999</v>
      </c>
      <c r="C787" s="13">
        <v>17877.2</v>
      </c>
      <c r="D787" s="13">
        <v>17884.75</v>
      </c>
      <c r="E787" s="13">
        <v>17493.55</v>
      </c>
      <c r="F787" t="s">
        <v>536</v>
      </c>
      <c r="G787" s="4">
        <v>-1.61E-2</v>
      </c>
    </row>
    <row r="788" spans="1:7" x14ac:dyDescent="0.3">
      <c r="A788" s="25">
        <v>44951</v>
      </c>
      <c r="B788" s="13">
        <v>17891.95</v>
      </c>
      <c r="C788" s="13">
        <v>18093.349999999999</v>
      </c>
      <c r="D788" s="13">
        <v>18100.599999999999</v>
      </c>
      <c r="E788" s="13">
        <v>17846.150000000001</v>
      </c>
      <c r="F788" t="s">
        <v>535</v>
      </c>
      <c r="G788" s="4">
        <v>-1.2500000000000001E-2</v>
      </c>
    </row>
    <row r="789" spans="1:7" x14ac:dyDescent="0.3">
      <c r="A789" s="25">
        <v>44950</v>
      </c>
      <c r="B789" s="13">
        <v>18118.3</v>
      </c>
      <c r="C789" s="13">
        <v>18183.95</v>
      </c>
      <c r="D789" s="13">
        <v>18201.25</v>
      </c>
      <c r="E789" s="13">
        <v>18078.650000000001</v>
      </c>
      <c r="F789" t="s">
        <v>534</v>
      </c>
      <c r="G789" s="4">
        <v>0</v>
      </c>
    </row>
    <row r="790" spans="1:7" x14ac:dyDescent="0.3">
      <c r="A790" s="25">
        <v>44949</v>
      </c>
      <c r="B790" s="13">
        <v>18118.55</v>
      </c>
      <c r="C790" s="13">
        <v>18118.45</v>
      </c>
      <c r="D790" s="13">
        <v>18162.599999999999</v>
      </c>
      <c r="E790" s="13">
        <v>18063.45</v>
      </c>
      <c r="F790" t="s">
        <v>533</v>
      </c>
      <c r="G790" s="4">
        <v>5.0000000000000001E-3</v>
      </c>
    </row>
    <row r="791" spans="1:7" x14ac:dyDescent="0.3">
      <c r="A791" s="25">
        <v>44946</v>
      </c>
      <c r="B791" s="13">
        <v>18027.650000000001</v>
      </c>
      <c r="C791" s="13">
        <v>18115.599999999999</v>
      </c>
      <c r="D791" s="13">
        <v>18145.45</v>
      </c>
      <c r="E791" s="13">
        <v>18016.2</v>
      </c>
      <c r="F791" t="s">
        <v>532</v>
      </c>
      <c r="G791" s="4">
        <v>-4.4000000000000003E-3</v>
      </c>
    </row>
    <row r="792" spans="1:7" x14ac:dyDescent="0.3">
      <c r="A792" s="25">
        <v>44945</v>
      </c>
      <c r="B792" s="13">
        <v>18107.849999999999</v>
      </c>
      <c r="C792" s="13">
        <v>18119.8</v>
      </c>
      <c r="D792" s="13">
        <v>18155.2</v>
      </c>
      <c r="E792" s="13">
        <v>18063.75</v>
      </c>
      <c r="F792" t="s">
        <v>531</v>
      </c>
      <c r="G792" s="4">
        <v>-3.2000000000000002E-3</v>
      </c>
    </row>
    <row r="793" spans="1:7" x14ac:dyDescent="0.3">
      <c r="A793" s="25">
        <v>44944</v>
      </c>
      <c r="B793" s="13">
        <v>18165.349999999999</v>
      </c>
      <c r="C793" s="13">
        <v>18074.3</v>
      </c>
      <c r="D793" s="13">
        <v>18183.75</v>
      </c>
      <c r="E793" s="13">
        <v>18032.45</v>
      </c>
      <c r="F793" t="s">
        <v>530</v>
      </c>
      <c r="G793" s="4">
        <v>6.1999999999999998E-3</v>
      </c>
    </row>
    <row r="794" spans="1:7" x14ac:dyDescent="0.3">
      <c r="A794" s="25">
        <v>44943</v>
      </c>
      <c r="B794" s="13">
        <v>18053.3</v>
      </c>
      <c r="C794" s="13">
        <v>17922.8</v>
      </c>
      <c r="D794" s="13">
        <v>18072.05</v>
      </c>
      <c r="E794" s="13">
        <v>17886.95</v>
      </c>
      <c r="F794" t="s">
        <v>529</v>
      </c>
      <c r="G794" s="4">
        <v>8.8999999999999999E-3</v>
      </c>
    </row>
    <row r="795" spans="1:7" x14ac:dyDescent="0.3">
      <c r="A795" s="25">
        <v>44942</v>
      </c>
      <c r="B795" s="13">
        <v>17894.849999999999</v>
      </c>
      <c r="C795" s="13">
        <v>18033.150000000001</v>
      </c>
      <c r="D795" s="13">
        <v>18049.650000000001</v>
      </c>
      <c r="E795" s="13">
        <v>17853.650000000001</v>
      </c>
      <c r="F795" t="s">
        <v>528</v>
      </c>
      <c r="G795" s="4">
        <v>-3.3999999999999998E-3</v>
      </c>
    </row>
    <row r="796" spans="1:7" x14ac:dyDescent="0.3">
      <c r="A796" s="25">
        <v>44939</v>
      </c>
      <c r="B796" s="13">
        <v>17956.599999999999</v>
      </c>
      <c r="C796" s="13">
        <v>17867.5</v>
      </c>
      <c r="D796" s="13">
        <v>17999.349999999999</v>
      </c>
      <c r="E796" s="13">
        <v>17774.25</v>
      </c>
      <c r="F796" t="s">
        <v>527</v>
      </c>
      <c r="G796" s="4">
        <v>5.4999999999999997E-3</v>
      </c>
    </row>
    <row r="797" spans="1:7" x14ac:dyDescent="0.3">
      <c r="A797" s="25">
        <v>44938</v>
      </c>
      <c r="B797" s="13">
        <v>17858.2</v>
      </c>
      <c r="C797" s="13">
        <v>17920.849999999999</v>
      </c>
      <c r="D797" s="13">
        <v>17945.8</v>
      </c>
      <c r="E797" s="13">
        <v>17761.650000000001</v>
      </c>
      <c r="F797" t="s">
        <v>526</v>
      </c>
      <c r="G797" s="4">
        <v>-2.0999999999999999E-3</v>
      </c>
    </row>
    <row r="798" spans="1:7" x14ac:dyDescent="0.3">
      <c r="A798" s="25">
        <v>44937</v>
      </c>
      <c r="B798" s="13">
        <v>17895.7</v>
      </c>
      <c r="C798" s="13">
        <v>17924.25</v>
      </c>
      <c r="D798" s="13">
        <v>17976.349999999999</v>
      </c>
      <c r="E798" s="13">
        <v>17824.349999999999</v>
      </c>
      <c r="F798" t="s">
        <v>525</v>
      </c>
      <c r="G798" s="4">
        <v>-1E-3</v>
      </c>
    </row>
    <row r="799" spans="1:7" x14ac:dyDescent="0.3">
      <c r="A799" s="25">
        <v>44936</v>
      </c>
      <c r="B799" s="13">
        <v>17914.150000000001</v>
      </c>
      <c r="C799" s="13">
        <v>18121.3</v>
      </c>
      <c r="D799" s="13">
        <v>18127.599999999999</v>
      </c>
      <c r="E799" s="13">
        <v>17856</v>
      </c>
      <c r="F799" t="s">
        <v>524</v>
      </c>
      <c r="G799" s="4">
        <v>-1.03E-2</v>
      </c>
    </row>
    <row r="800" spans="1:7" x14ac:dyDescent="0.3">
      <c r="A800" s="25">
        <v>44935</v>
      </c>
      <c r="B800" s="13">
        <v>18101.2</v>
      </c>
      <c r="C800" s="13">
        <v>17952.55</v>
      </c>
      <c r="D800" s="13">
        <v>18141.400000000001</v>
      </c>
      <c r="E800" s="13">
        <v>17936.150000000001</v>
      </c>
      <c r="F800" t="s">
        <v>523</v>
      </c>
      <c r="G800" s="4">
        <v>1.35E-2</v>
      </c>
    </row>
    <row r="801" spans="1:7" x14ac:dyDescent="0.3">
      <c r="A801" s="25">
        <v>44932</v>
      </c>
      <c r="B801" s="13">
        <v>17859.45</v>
      </c>
      <c r="C801" s="13">
        <v>18008.05</v>
      </c>
      <c r="D801" s="13">
        <v>18047.400000000001</v>
      </c>
      <c r="E801" s="13">
        <v>17795.55</v>
      </c>
      <c r="F801" t="s">
        <v>522</v>
      </c>
      <c r="G801" s="4">
        <v>-7.4000000000000003E-3</v>
      </c>
    </row>
    <row r="802" spans="1:7" x14ac:dyDescent="0.3">
      <c r="A802" s="25">
        <v>44931</v>
      </c>
      <c r="B802" s="13">
        <v>17992.150000000001</v>
      </c>
      <c r="C802" s="13">
        <v>18101.95</v>
      </c>
      <c r="D802" s="13">
        <v>18120.3</v>
      </c>
      <c r="E802" s="13">
        <v>17892.599999999999</v>
      </c>
      <c r="F802" t="s">
        <v>521</v>
      </c>
      <c r="G802" s="4">
        <v>-2.8E-3</v>
      </c>
    </row>
    <row r="803" spans="1:7" x14ac:dyDescent="0.3">
      <c r="A803" s="25">
        <v>44930</v>
      </c>
      <c r="B803" s="13">
        <v>18042.95</v>
      </c>
      <c r="C803" s="13">
        <v>18230.650000000001</v>
      </c>
      <c r="D803" s="13">
        <v>18243</v>
      </c>
      <c r="E803" s="13">
        <v>18020.599999999999</v>
      </c>
      <c r="F803" t="s">
        <v>520</v>
      </c>
      <c r="G803" s="4">
        <v>-1.04E-2</v>
      </c>
    </row>
    <row r="804" spans="1:7" x14ac:dyDescent="0.3">
      <c r="A804" s="25">
        <v>44929</v>
      </c>
      <c r="B804" s="13">
        <v>18232.55</v>
      </c>
      <c r="C804" s="13">
        <v>18163.2</v>
      </c>
      <c r="D804" s="13">
        <v>18251.95</v>
      </c>
      <c r="E804" s="13">
        <v>18149.8</v>
      </c>
      <c r="F804" t="s">
        <v>519</v>
      </c>
      <c r="G804" s="4">
        <v>1.9E-3</v>
      </c>
    </row>
    <row r="805" spans="1:7" x14ac:dyDescent="0.3">
      <c r="A805" s="25">
        <v>44928</v>
      </c>
      <c r="B805" s="13">
        <v>18197.45</v>
      </c>
      <c r="C805" s="13">
        <v>18131.7</v>
      </c>
      <c r="D805" s="13">
        <v>18215.150000000001</v>
      </c>
      <c r="E805" s="13">
        <v>18086.5</v>
      </c>
      <c r="F805" t="s">
        <v>518</v>
      </c>
      <c r="G805" s="4">
        <v>5.1000000000000004E-3</v>
      </c>
    </row>
    <row r="806" spans="1:7" x14ac:dyDescent="0.3">
      <c r="A806" s="25">
        <v>44925</v>
      </c>
      <c r="B806" s="13">
        <v>18105.3</v>
      </c>
      <c r="C806" s="13">
        <v>18259.099999999999</v>
      </c>
      <c r="D806" s="13">
        <v>18265.25</v>
      </c>
      <c r="E806" s="13">
        <v>18080.3</v>
      </c>
      <c r="F806" t="s">
        <v>517</v>
      </c>
      <c r="G806" s="4">
        <v>-4.7000000000000002E-3</v>
      </c>
    </row>
    <row r="807" spans="1:7" x14ac:dyDescent="0.3">
      <c r="A807" s="25">
        <v>44924</v>
      </c>
      <c r="B807" s="13">
        <v>18191</v>
      </c>
      <c r="C807" s="13">
        <v>18045.7</v>
      </c>
      <c r="D807" s="13">
        <v>18229.7</v>
      </c>
      <c r="E807" s="13">
        <v>17992.8</v>
      </c>
      <c r="F807" t="s">
        <v>516</v>
      </c>
      <c r="G807" s="4">
        <v>3.8E-3</v>
      </c>
    </row>
    <row r="808" spans="1:7" x14ac:dyDescent="0.3">
      <c r="A808" s="25">
        <v>44923</v>
      </c>
      <c r="B808" s="13">
        <v>18122.5</v>
      </c>
      <c r="C808" s="13">
        <v>18084.75</v>
      </c>
      <c r="D808" s="13">
        <v>18173.099999999999</v>
      </c>
      <c r="E808" s="13">
        <v>18068.349999999999</v>
      </c>
      <c r="F808" t="s">
        <v>515</v>
      </c>
      <c r="G808" s="4">
        <v>-5.0000000000000001E-4</v>
      </c>
    </row>
    <row r="809" spans="1:7" x14ac:dyDescent="0.3">
      <c r="A809" s="25">
        <v>44922</v>
      </c>
      <c r="B809" s="13">
        <v>18132.3</v>
      </c>
      <c r="C809" s="13">
        <v>18089.8</v>
      </c>
      <c r="D809" s="13">
        <v>18149.25</v>
      </c>
      <c r="E809" s="13">
        <v>17967.45</v>
      </c>
      <c r="F809" t="s">
        <v>514</v>
      </c>
      <c r="G809" s="4">
        <v>6.4999999999999997E-3</v>
      </c>
    </row>
    <row r="810" spans="1:7" x14ac:dyDescent="0.3">
      <c r="A810" s="25">
        <v>44921</v>
      </c>
      <c r="B810" s="13">
        <v>18014.599999999999</v>
      </c>
      <c r="C810" s="13">
        <v>17830.400000000001</v>
      </c>
      <c r="D810" s="13">
        <v>18084.099999999999</v>
      </c>
      <c r="E810" s="13">
        <v>17774.25</v>
      </c>
      <c r="F810" t="s">
        <v>513</v>
      </c>
      <c r="G810" s="4">
        <v>1.17E-2</v>
      </c>
    </row>
    <row r="811" spans="1:7" x14ac:dyDescent="0.3">
      <c r="A811" s="25">
        <v>44918</v>
      </c>
      <c r="B811" s="13">
        <v>17806.8</v>
      </c>
      <c r="C811" s="13">
        <v>17977.650000000001</v>
      </c>
      <c r="D811" s="13">
        <v>18050.45</v>
      </c>
      <c r="E811" s="13">
        <v>17779.5</v>
      </c>
      <c r="F811" t="s">
        <v>512</v>
      </c>
      <c r="G811" s="4">
        <v>-1.77E-2</v>
      </c>
    </row>
    <row r="812" spans="1:7" x14ac:dyDescent="0.3">
      <c r="A812" s="25">
        <v>44917</v>
      </c>
      <c r="B812" s="13">
        <v>18127.349999999999</v>
      </c>
      <c r="C812" s="13">
        <v>18288.8</v>
      </c>
      <c r="D812" s="13">
        <v>18318.75</v>
      </c>
      <c r="E812" s="13">
        <v>18068.599999999999</v>
      </c>
      <c r="F812" t="s">
        <v>511</v>
      </c>
      <c r="G812" s="4">
        <v>-3.8999999999999998E-3</v>
      </c>
    </row>
    <row r="813" spans="1:7" x14ac:dyDescent="0.3">
      <c r="A813" s="25">
        <v>44916</v>
      </c>
      <c r="B813" s="13">
        <v>18199.099999999999</v>
      </c>
      <c r="C813" s="13">
        <v>18435.150000000001</v>
      </c>
      <c r="D813" s="13">
        <v>18473.349999999999</v>
      </c>
      <c r="E813" s="13">
        <v>18162.75</v>
      </c>
      <c r="F813" t="s">
        <v>506</v>
      </c>
      <c r="G813" s="4">
        <v>-1.01E-2</v>
      </c>
    </row>
    <row r="814" spans="1:7" x14ac:dyDescent="0.3">
      <c r="A814" s="25">
        <v>44915</v>
      </c>
      <c r="B814" s="13">
        <v>18385.3</v>
      </c>
      <c r="C814" s="13">
        <v>18340.3</v>
      </c>
      <c r="D814" s="13">
        <v>18404.900000000001</v>
      </c>
      <c r="E814" s="13">
        <v>18202.650000000001</v>
      </c>
      <c r="F814" t="s">
        <v>510</v>
      </c>
      <c r="G814" s="4">
        <v>-1.9E-3</v>
      </c>
    </row>
    <row r="815" spans="1:7" x14ac:dyDescent="0.3">
      <c r="A815" s="25">
        <v>44914</v>
      </c>
      <c r="B815" s="13">
        <v>18420.45</v>
      </c>
      <c r="C815" s="13">
        <v>18288.099999999999</v>
      </c>
      <c r="D815" s="13">
        <v>18431.650000000001</v>
      </c>
      <c r="E815" s="13">
        <v>18244.55</v>
      </c>
      <c r="F815" t="s">
        <v>509</v>
      </c>
      <c r="G815" s="4">
        <v>8.3000000000000001E-3</v>
      </c>
    </row>
    <row r="816" spans="1:7" x14ac:dyDescent="0.3">
      <c r="A816" s="25">
        <v>44911</v>
      </c>
      <c r="B816" s="13">
        <v>18269</v>
      </c>
      <c r="C816" s="13">
        <v>18319.099999999999</v>
      </c>
      <c r="D816" s="13">
        <v>18440.95</v>
      </c>
      <c r="E816" s="13">
        <v>18255.150000000001</v>
      </c>
      <c r="F816" t="s">
        <v>289</v>
      </c>
      <c r="G816" s="4">
        <v>-7.9000000000000008E-3</v>
      </c>
    </row>
    <row r="817" spans="1:7" x14ac:dyDescent="0.3">
      <c r="A817" s="25">
        <v>44910</v>
      </c>
      <c r="B817" s="13">
        <v>18414.900000000001</v>
      </c>
      <c r="C817" s="13">
        <v>18614.400000000001</v>
      </c>
      <c r="D817" s="13">
        <v>18652.900000000001</v>
      </c>
      <c r="E817" s="13">
        <v>18387.7</v>
      </c>
      <c r="F817" t="s">
        <v>508</v>
      </c>
      <c r="G817" s="4">
        <v>-1.32E-2</v>
      </c>
    </row>
    <row r="818" spans="1:7" x14ac:dyDescent="0.3">
      <c r="A818" s="25">
        <v>44909</v>
      </c>
      <c r="B818" s="13">
        <v>18660.3</v>
      </c>
      <c r="C818" s="13">
        <v>18671.25</v>
      </c>
      <c r="D818" s="13">
        <v>18696.099999999999</v>
      </c>
      <c r="E818" s="13">
        <v>18632.900000000001</v>
      </c>
      <c r="F818" t="s">
        <v>507</v>
      </c>
      <c r="G818" s="4">
        <v>2.8E-3</v>
      </c>
    </row>
    <row r="819" spans="1:7" x14ac:dyDescent="0.3">
      <c r="A819" s="25">
        <v>44908</v>
      </c>
      <c r="B819" s="13">
        <v>18608</v>
      </c>
      <c r="C819" s="13">
        <v>18524.400000000001</v>
      </c>
      <c r="D819" s="13">
        <v>18617.25</v>
      </c>
      <c r="E819" s="13">
        <v>18490.2</v>
      </c>
      <c r="F819" t="s">
        <v>506</v>
      </c>
      <c r="G819" s="4">
        <v>6.0000000000000001E-3</v>
      </c>
    </row>
    <row r="820" spans="1:7" x14ac:dyDescent="0.3">
      <c r="A820" s="25">
        <v>44907</v>
      </c>
      <c r="B820" s="13">
        <v>18497.150000000001</v>
      </c>
      <c r="C820" s="13">
        <v>18402.150000000001</v>
      </c>
      <c r="D820" s="13">
        <v>18521.55</v>
      </c>
      <c r="E820" s="13">
        <v>18345.7</v>
      </c>
      <c r="F820" t="s">
        <v>505</v>
      </c>
      <c r="G820" s="4">
        <v>0</v>
      </c>
    </row>
    <row r="821" spans="1:7" x14ac:dyDescent="0.3">
      <c r="A821" s="25">
        <v>44904</v>
      </c>
      <c r="B821" s="13">
        <v>18496.599999999999</v>
      </c>
      <c r="C821" s="13">
        <v>18662.400000000001</v>
      </c>
      <c r="D821" s="13">
        <v>18664.7</v>
      </c>
      <c r="E821" s="13">
        <v>18410.099999999999</v>
      </c>
      <c r="F821" t="s">
        <v>504</v>
      </c>
      <c r="G821" s="4">
        <v>-6.1000000000000004E-3</v>
      </c>
    </row>
    <row r="822" spans="1:7" x14ac:dyDescent="0.3">
      <c r="A822" s="25">
        <v>44903</v>
      </c>
      <c r="B822" s="13">
        <v>18609.349999999999</v>
      </c>
      <c r="C822" s="13">
        <v>18570.849999999999</v>
      </c>
      <c r="D822" s="13">
        <v>18625</v>
      </c>
      <c r="E822" s="13">
        <v>18536.95</v>
      </c>
      <c r="F822" t="s">
        <v>503</v>
      </c>
      <c r="G822" s="4">
        <v>2.5999999999999999E-3</v>
      </c>
    </row>
    <row r="823" spans="1:7" x14ac:dyDescent="0.3">
      <c r="A823" s="25">
        <v>44902</v>
      </c>
      <c r="B823" s="13">
        <v>18560.5</v>
      </c>
      <c r="C823" s="13">
        <v>18638.849999999999</v>
      </c>
      <c r="D823" s="13">
        <v>18668.3</v>
      </c>
      <c r="E823" s="13">
        <v>18528.400000000001</v>
      </c>
      <c r="F823" t="s">
        <v>502</v>
      </c>
      <c r="G823" s="4">
        <v>-4.4000000000000003E-3</v>
      </c>
    </row>
    <row r="824" spans="1:7" x14ac:dyDescent="0.3">
      <c r="A824" s="25">
        <v>44901</v>
      </c>
      <c r="B824" s="13">
        <v>18642.75</v>
      </c>
      <c r="C824" s="13">
        <v>18600.650000000001</v>
      </c>
      <c r="D824" s="13">
        <v>18654.900000000001</v>
      </c>
      <c r="E824" s="13">
        <v>18577.900000000001</v>
      </c>
      <c r="F824" t="s">
        <v>501</v>
      </c>
      <c r="G824" s="4">
        <v>-3.0999999999999999E-3</v>
      </c>
    </row>
    <row r="825" spans="1:7" x14ac:dyDescent="0.3">
      <c r="A825" s="25">
        <v>44900</v>
      </c>
      <c r="B825" s="13">
        <v>18701.05</v>
      </c>
      <c r="C825" s="13">
        <v>18719.55</v>
      </c>
      <c r="D825" s="13">
        <v>18728.599999999999</v>
      </c>
      <c r="E825" s="13">
        <v>18591.349999999999</v>
      </c>
      <c r="F825" t="s">
        <v>500</v>
      </c>
      <c r="G825" s="4">
        <v>2.9999999999999997E-4</v>
      </c>
    </row>
    <row r="826" spans="1:7" x14ac:dyDescent="0.3">
      <c r="A826" s="25">
        <v>44897</v>
      </c>
      <c r="B826" s="13">
        <v>18696.099999999999</v>
      </c>
      <c r="C826" s="13">
        <v>18752.400000000001</v>
      </c>
      <c r="D826" s="13">
        <v>18781.95</v>
      </c>
      <c r="E826" s="13">
        <v>18639.2</v>
      </c>
      <c r="F826" t="s">
        <v>499</v>
      </c>
      <c r="G826" s="4">
        <v>-6.1999999999999998E-3</v>
      </c>
    </row>
    <row r="827" spans="1:7" x14ac:dyDescent="0.3">
      <c r="A827" s="25">
        <v>44896</v>
      </c>
      <c r="B827" s="13">
        <v>18812.5</v>
      </c>
      <c r="C827" s="13">
        <v>18871.95</v>
      </c>
      <c r="D827" s="13">
        <v>18887.599999999999</v>
      </c>
      <c r="E827" s="13">
        <v>18778.2</v>
      </c>
      <c r="F827" t="s">
        <v>498</v>
      </c>
      <c r="G827" s="4">
        <v>2.8999999999999998E-3</v>
      </c>
    </row>
    <row r="828" spans="1:7" x14ac:dyDescent="0.3">
      <c r="A828" s="25">
        <v>44895</v>
      </c>
      <c r="B828" s="13">
        <v>18758.349999999999</v>
      </c>
      <c r="C828" s="13">
        <v>18625.7</v>
      </c>
      <c r="D828" s="13">
        <v>18816.05</v>
      </c>
      <c r="E828" s="13">
        <v>18616.55</v>
      </c>
      <c r="F828" t="s">
        <v>497</v>
      </c>
      <c r="G828" s="4">
        <v>7.4999999999999997E-3</v>
      </c>
    </row>
    <row r="829" spans="1:7" x14ac:dyDescent="0.3">
      <c r="A829" s="25">
        <v>44894</v>
      </c>
      <c r="B829" s="13">
        <v>18618.05</v>
      </c>
      <c r="C829" s="13">
        <v>18552.45</v>
      </c>
      <c r="D829" s="13">
        <v>18678.099999999999</v>
      </c>
      <c r="E829" s="13">
        <v>18552.150000000001</v>
      </c>
      <c r="F829" t="s">
        <v>496</v>
      </c>
      <c r="G829" s="4">
        <v>3.0000000000000001E-3</v>
      </c>
    </row>
    <row r="830" spans="1:7" x14ac:dyDescent="0.3">
      <c r="A830" s="25">
        <v>44893</v>
      </c>
      <c r="B830" s="13">
        <v>18562.75</v>
      </c>
      <c r="C830" s="13">
        <v>18430.55</v>
      </c>
      <c r="D830" s="13">
        <v>18614.25</v>
      </c>
      <c r="E830" s="13">
        <v>18365.599999999999</v>
      </c>
      <c r="F830" t="s">
        <v>495</v>
      </c>
      <c r="G830" s="4">
        <v>2.7000000000000001E-3</v>
      </c>
    </row>
    <row r="831" spans="1:7" x14ac:dyDescent="0.3">
      <c r="A831" s="25">
        <v>44890</v>
      </c>
      <c r="B831" s="13">
        <v>18512.75</v>
      </c>
      <c r="C831" s="13">
        <v>18528.45</v>
      </c>
      <c r="D831" s="13">
        <v>18534.900000000001</v>
      </c>
      <c r="E831" s="13">
        <v>18445.099999999999</v>
      </c>
      <c r="F831" t="s">
        <v>494</v>
      </c>
      <c r="G831" s="4">
        <v>1.6000000000000001E-3</v>
      </c>
    </row>
    <row r="832" spans="1:7" x14ac:dyDescent="0.3">
      <c r="A832" s="25">
        <v>44889</v>
      </c>
      <c r="B832" s="13">
        <v>18484.099999999999</v>
      </c>
      <c r="C832" s="13">
        <v>18326.099999999999</v>
      </c>
      <c r="D832" s="13">
        <v>18529.7</v>
      </c>
      <c r="E832" s="13">
        <v>18294.25</v>
      </c>
      <c r="F832" t="s">
        <v>493</v>
      </c>
      <c r="G832" s="4">
        <v>1.1900000000000001E-2</v>
      </c>
    </row>
    <row r="833" spans="1:7" x14ac:dyDescent="0.3">
      <c r="A833" s="25">
        <v>44888</v>
      </c>
      <c r="B833" s="13">
        <v>18267.25</v>
      </c>
      <c r="C833" s="13">
        <v>18325.2</v>
      </c>
      <c r="D833" s="13">
        <v>18325.400000000001</v>
      </c>
      <c r="E833" s="13">
        <v>18246</v>
      </c>
      <c r="F833" t="s">
        <v>492</v>
      </c>
      <c r="G833" s="4">
        <v>1.2999999999999999E-3</v>
      </c>
    </row>
    <row r="834" spans="1:7" x14ac:dyDescent="0.3">
      <c r="A834" s="25">
        <v>44887</v>
      </c>
      <c r="B834" s="13">
        <v>18244.2</v>
      </c>
      <c r="C834" s="13">
        <v>18179.150000000001</v>
      </c>
      <c r="D834" s="13">
        <v>18261.849999999999</v>
      </c>
      <c r="E834" s="13">
        <v>18137.7</v>
      </c>
      <c r="F834" t="s">
        <v>491</v>
      </c>
      <c r="G834" s="4">
        <v>4.5999999999999999E-3</v>
      </c>
    </row>
    <row r="835" spans="1:7" x14ac:dyDescent="0.3">
      <c r="A835" s="25">
        <v>44886</v>
      </c>
      <c r="B835" s="13">
        <v>18159.95</v>
      </c>
      <c r="C835" s="13">
        <v>18246.400000000001</v>
      </c>
      <c r="D835" s="13">
        <v>18262.3</v>
      </c>
      <c r="E835" s="13">
        <v>18133.349999999999</v>
      </c>
      <c r="F835" t="s">
        <v>490</v>
      </c>
      <c r="G835" s="4">
        <v>-8.0999999999999996E-3</v>
      </c>
    </row>
    <row r="836" spans="1:7" x14ac:dyDescent="0.3">
      <c r="A836" s="25">
        <v>44883</v>
      </c>
      <c r="B836" s="13">
        <v>18307.650000000001</v>
      </c>
      <c r="C836" s="13">
        <v>18382.95</v>
      </c>
      <c r="D836" s="13">
        <v>18394.599999999999</v>
      </c>
      <c r="E836" s="13">
        <v>18209.8</v>
      </c>
      <c r="F836" t="s">
        <v>489</v>
      </c>
      <c r="G836" s="4">
        <v>-2E-3</v>
      </c>
    </row>
    <row r="837" spans="1:7" x14ac:dyDescent="0.3">
      <c r="A837" s="25">
        <v>44882</v>
      </c>
      <c r="B837" s="13">
        <v>18343.900000000001</v>
      </c>
      <c r="C837" s="13">
        <v>18358.7</v>
      </c>
      <c r="D837" s="13">
        <v>18417.599999999999</v>
      </c>
      <c r="E837" s="13">
        <v>18312.95</v>
      </c>
      <c r="F837" t="s">
        <v>488</v>
      </c>
      <c r="G837" s="4">
        <v>-3.5999999999999999E-3</v>
      </c>
    </row>
    <row r="838" spans="1:7" x14ac:dyDescent="0.3">
      <c r="A838" s="25">
        <v>44881</v>
      </c>
      <c r="B838" s="13">
        <v>18409.650000000001</v>
      </c>
      <c r="C838" s="13">
        <v>18398.25</v>
      </c>
      <c r="D838" s="13">
        <v>18442.150000000001</v>
      </c>
      <c r="E838" s="13">
        <v>18344.150000000001</v>
      </c>
      <c r="F838" t="s">
        <v>487</v>
      </c>
      <c r="G838" s="4">
        <v>2.9999999999999997E-4</v>
      </c>
    </row>
    <row r="839" spans="1:7" x14ac:dyDescent="0.3">
      <c r="A839" s="25">
        <v>44880</v>
      </c>
      <c r="B839" s="13">
        <v>18403.400000000001</v>
      </c>
      <c r="C839" s="13">
        <v>18362.75</v>
      </c>
      <c r="D839" s="13">
        <v>18427.95</v>
      </c>
      <c r="E839" s="13">
        <v>18282</v>
      </c>
      <c r="F839" t="s">
        <v>486</v>
      </c>
      <c r="G839" s="4">
        <v>4.1000000000000003E-3</v>
      </c>
    </row>
    <row r="840" spans="1:7" x14ac:dyDescent="0.3">
      <c r="A840" s="25">
        <v>44879</v>
      </c>
      <c r="B840" s="13">
        <v>18329.150000000001</v>
      </c>
      <c r="C840" s="13">
        <v>18376.400000000001</v>
      </c>
      <c r="D840" s="13">
        <v>18399.45</v>
      </c>
      <c r="E840" s="13">
        <v>18311.400000000001</v>
      </c>
      <c r="F840" t="s">
        <v>485</v>
      </c>
      <c r="G840" s="4">
        <v>-1.1000000000000001E-3</v>
      </c>
    </row>
    <row r="841" spans="1:7" x14ac:dyDescent="0.3">
      <c r="A841" s="25">
        <v>44876</v>
      </c>
      <c r="B841" s="13">
        <v>18349.7</v>
      </c>
      <c r="C841" s="13">
        <v>18272.349999999999</v>
      </c>
      <c r="D841" s="13">
        <v>18362.3</v>
      </c>
      <c r="E841" s="13">
        <v>18259.349999999999</v>
      </c>
      <c r="F841" t="s">
        <v>484</v>
      </c>
      <c r="G841" s="4">
        <v>1.78E-2</v>
      </c>
    </row>
    <row r="842" spans="1:7" x14ac:dyDescent="0.3">
      <c r="A842" s="25">
        <v>44875</v>
      </c>
      <c r="B842" s="13">
        <v>18028.2</v>
      </c>
      <c r="C842" s="13">
        <v>18044.349999999999</v>
      </c>
      <c r="D842" s="13">
        <v>18103.099999999999</v>
      </c>
      <c r="E842" s="13">
        <v>17969.400000000001</v>
      </c>
      <c r="F842" t="s">
        <v>483</v>
      </c>
      <c r="G842" s="4">
        <v>-7.1000000000000004E-3</v>
      </c>
    </row>
    <row r="843" spans="1:7" x14ac:dyDescent="0.3">
      <c r="A843" s="25">
        <v>44874</v>
      </c>
      <c r="B843" s="13">
        <v>18157</v>
      </c>
      <c r="C843" s="13">
        <v>18288.25</v>
      </c>
      <c r="D843" s="13">
        <v>18296.400000000001</v>
      </c>
      <c r="E843" s="13">
        <v>18117.5</v>
      </c>
      <c r="F843" t="s">
        <v>482</v>
      </c>
      <c r="G843" s="4">
        <v>-2.5000000000000001E-3</v>
      </c>
    </row>
    <row r="844" spans="1:7" x14ac:dyDescent="0.3">
      <c r="A844" s="25">
        <v>44872</v>
      </c>
      <c r="B844" s="13">
        <v>18202.8</v>
      </c>
      <c r="C844" s="13">
        <v>18211.75</v>
      </c>
      <c r="D844" s="13">
        <v>18255.5</v>
      </c>
      <c r="E844" s="13">
        <v>18064.75</v>
      </c>
      <c r="F844" t="s">
        <v>481</v>
      </c>
      <c r="G844" s="4">
        <v>4.7000000000000002E-3</v>
      </c>
    </row>
    <row r="845" spans="1:7" x14ac:dyDescent="0.3">
      <c r="A845" s="25">
        <v>44869</v>
      </c>
      <c r="B845" s="13">
        <v>18117.150000000001</v>
      </c>
      <c r="C845" s="13">
        <v>18053.400000000001</v>
      </c>
      <c r="D845" s="13">
        <v>18135.099999999999</v>
      </c>
      <c r="E845" s="13">
        <v>18017.150000000001</v>
      </c>
      <c r="F845" t="s">
        <v>480</v>
      </c>
      <c r="G845" s="4">
        <v>3.5999999999999999E-3</v>
      </c>
    </row>
    <row r="846" spans="1:7" x14ac:dyDescent="0.3">
      <c r="A846" s="25">
        <v>44868</v>
      </c>
      <c r="B846" s="13">
        <v>18052.7</v>
      </c>
      <c r="C846" s="13">
        <v>17968.349999999999</v>
      </c>
      <c r="D846" s="13">
        <v>18106.3</v>
      </c>
      <c r="E846" s="13">
        <v>17959.2</v>
      </c>
      <c r="F846" t="s">
        <v>479</v>
      </c>
      <c r="G846" s="4">
        <v>-1.6999999999999999E-3</v>
      </c>
    </row>
    <row r="847" spans="1:7" x14ac:dyDescent="0.3">
      <c r="A847" s="25">
        <v>44867</v>
      </c>
      <c r="B847" s="13">
        <v>18082.849999999999</v>
      </c>
      <c r="C847" s="13">
        <v>18177.900000000001</v>
      </c>
      <c r="D847" s="13">
        <v>18178.75</v>
      </c>
      <c r="E847" s="13">
        <v>18048.650000000001</v>
      </c>
      <c r="F847" t="s">
        <v>478</v>
      </c>
      <c r="G847" s="4">
        <v>-3.3999999999999998E-3</v>
      </c>
    </row>
    <row r="848" spans="1:7" x14ac:dyDescent="0.3">
      <c r="A848" s="25">
        <v>44866</v>
      </c>
      <c r="B848" s="13">
        <v>18145.400000000001</v>
      </c>
      <c r="C848" s="13">
        <v>18130.7</v>
      </c>
      <c r="D848" s="13">
        <v>18175.8</v>
      </c>
      <c r="E848" s="13">
        <v>18060.150000000001</v>
      </c>
      <c r="F848" t="s">
        <v>477</v>
      </c>
      <c r="G848" s="4">
        <v>7.4000000000000003E-3</v>
      </c>
    </row>
    <row r="849" spans="1:7" x14ac:dyDescent="0.3">
      <c r="A849" s="25">
        <v>44865</v>
      </c>
      <c r="B849" s="13">
        <v>18012.2</v>
      </c>
      <c r="C849" s="13">
        <v>17910.2</v>
      </c>
      <c r="D849" s="13">
        <v>18022.8</v>
      </c>
      <c r="E849" s="13">
        <v>17899.900000000001</v>
      </c>
      <c r="F849" t="s">
        <v>476</v>
      </c>
      <c r="G849" s="4">
        <v>1.2699999999999999E-2</v>
      </c>
    </row>
    <row r="850" spans="1:7" x14ac:dyDescent="0.3">
      <c r="A850" s="25">
        <v>44862</v>
      </c>
      <c r="B850" s="13">
        <v>17786.8</v>
      </c>
      <c r="C850" s="13">
        <v>17756.400000000001</v>
      </c>
      <c r="D850" s="13">
        <v>17838.900000000001</v>
      </c>
      <c r="E850" s="13">
        <v>17723.7</v>
      </c>
      <c r="F850" t="s">
        <v>475</v>
      </c>
      <c r="G850" s="4">
        <v>2.8E-3</v>
      </c>
    </row>
    <row r="851" spans="1:7" x14ac:dyDescent="0.3">
      <c r="A851" s="25">
        <v>44861</v>
      </c>
      <c r="B851" s="13">
        <v>17736.95</v>
      </c>
      <c r="C851" s="13">
        <v>17771.400000000001</v>
      </c>
      <c r="D851" s="13">
        <v>17783.900000000001</v>
      </c>
      <c r="E851" s="13">
        <v>17654.5</v>
      </c>
      <c r="F851" t="s">
        <v>474</v>
      </c>
      <c r="G851" s="4">
        <v>4.5999999999999999E-3</v>
      </c>
    </row>
    <row r="852" spans="1:7" x14ac:dyDescent="0.3">
      <c r="A852" s="25">
        <v>44859</v>
      </c>
      <c r="B852" s="13">
        <v>17656.349999999999</v>
      </c>
      <c r="C852" s="13">
        <v>17808.3</v>
      </c>
      <c r="D852" s="13">
        <v>17811.5</v>
      </c>
      <c r="E852" s="13">
        <v>17637</v>
      </c>
      <c r="F852" t="s">
        <v>473</v>
      </c>
      <c r="G852" s="4">
        <v>-4.1999999999999997E-3</v>
      </c>
    </row>
    <row r="853" spans="1:7" x14ac:dyDescent="0.3">
      <c r="A853" s="25">
        <v>44858</v>
      </c>
      <c r="B853" s="13">
        <v>17730.75</v>
      </c>
      <c r="C853" s="13">
        <v>17736.349999999999</v>
      </c>
      <c r="D853" s="13">
        <v>17777.55</v>
      </c>
      <c r="E853" s="13">
        <v>17707.400000000001</v>
      </c>
      <c r="F853" t="s">
        <v>472</v>
      </c>
      <c r="G853" s="4">
        <v>8.8000000000000005E-3</v>
      </c>
    </row>
    <row r="854" spans="1:7" x14ac:dyDescent="0.3">
      <c r="A854" s="25">
        <v>44855</v>
      </c>
      <c r="B854" s="13">
        <v>17576.3</v>
      </c>
      <c r="C854" s="13">
        <v>17622.849999999999</v>
      </c>
      <c r="D854" s="13">
        <v>17670.150000000001</v>
      </c>
      <c r="E854" s="13">
        <v>17520.75</v>
      </c>
      <c r="F854" t="s">
        <v>471</v>
      </c>
      <c r="G854" s="4">
        <v>6.9999999999999999E-4</v>
      </c>
    </row>
    <row r="855" spans="1:7" x14ac:dyDescent="0.3">
      <c r="A855" s="25">
        <v>44854</v>
      </c>
      <c r="B855" s="13">
        <v>17563.95</v>
      </c>
      <c r="C855" s="13">
        <v>17423.099999999999</v>
      </c>
      <c r="D855" s="13">
        <v>17584.150000000001</v>
      </c>
      <c r="E855" s="13">
        <v>17421</v>
      </c>
      <c r="F855" t="s">
        <v>470</v>
      </c>
      <c r="G855" s="4">
        <v>3.0000000000000001E-3</v>
      </c>
    </row>
    <row r="856" spans="1:7" x14ac:dyDescent="0.3">
      <c r="A856" s="25">
        <v>44853</v>
      </c>
      <c r="B856" s="13">
        <v>17512.25</v>
      </c>
      <c r="C856" s="13">
        <v>17568.150000000001</v>
      </c>
      <c r="D856" s="13">
        <v>17607.599999999999</v>
      </c>
      <c r="E856" s="13">
        <v>17472.849999999999</v>
      </c>
      <c r="F856" t="s">
        <v>469</v>
      </c>
      <c r="G856" s="4">
        <v>1.4E-3</v>
      </c>
    </row>
    <row r="857" spans="1:7" x14ac:dyDescent="0.3">
      <c r="A857" s="25">
        <v>44852</v>
      </c>
      <c r="B857" s="13">
        <v>17486.95</v>
      </c>
      <c r="C857" s="13">
        <v>17438.75</v>
      </c>
      <c r="D857" s="13">
        <v>17527.8</v>
      </c>
      <c r="E857" s="13">
        <v>17434.05</v>
      </c>
      <c r="F857" t="s">
        <v>468</v>
      </c>
      <c r="G857" s="4">
        <v>1.01E-2</v>
      </c>
    </row>
    <row r="858" spans="1:7" x14ac:dyDescent="0.3">
      <c r="A858" s="25">
        <v>44851</v>
      </c>
      <c r="B858" s="13">
        <v>17311.8</v>
      </c>
      <c r="C858" s="13">
        <v>17144.8</v>
      </c>
      <c r="D858" s="13">
        <v>17328.55</v>
      </c>
      <c r="E858" s="13">
        <v>17098.55</v>
      </c>
      <c r="F858" t="s">
        <v>467</v>
      </c>
      <c r="G858" s="4">
        <v>7.3000000000000001E-3</v>
      </c>
    </row>
    <row r="859" spans="1:7" x14ac:dyDescent="0.3">
      <c r="A859" s="25">
        <v>44848</v>
      </c>
      <c r="B859" s="13">
        <v>17185.7</v>
      </c>
      <c r="C859" s="13">
        <v>17322.3</v>
      </c>
      <c r="D859" s="13">
        <v>17348.55</v>
      </c>
      <c r="E859" s="13">
        <v>17169.75</v>
      </c>
      <c r="F859" t="s">
        <v>466</v>
      </c>
      <c r="G859" s="4">
        <v>1.01E-2</v>
      </c>
    </row>
    <row r="860" spans="1:7" x14ac:dyDescent="0.3">
      <c r="A860" s="25">
        <v>44847</v>
      </c>
      <c r="B860" s="13">
        <v>17014.349999999999</v>
      </c>
      <c r="C860" s="13">
        <v>17087.349999999999</v>
      </c>
      <c r="D860" s="13">
        <v>17112.349999999999</v>
      </c>
      <c r="E860" s="13">
        <v>16956.95</v>
      </c>
      <c r="F860" t="s">
        <v>465</v>
      </c>
      <c r="G860" s="4">
        <v>-6.4000000000000003E-3</v>
      </c>
    </row>
    <row r="861" spans="1:7" x14ac:dyDescent="0.3">
      <c r="A861" s="25">
        <v>44846</v>
      </c>
      <c r="B861" s="13">
        <v>17123.599999999999</v>
      </c>
      <c r="C861" s="13">
        <v>17025.55</v>
      </c>
      <c r="D861" s="13">
        <v>17142.349999999999</v>
      </c>
      <c r="E861" s="13">
        <v>16960.05</v>
      </c>
      <c r="F861" t="s">
        <v>464</v>
      </c>
      <c r="G861" s="4">
        <v>8.2000000000000007E-3</v>
      </c>
    </row>
    <row r="862" spans="1:7" x14ac:dyDescent="0.3">
      <c r="A862" s="25">
        <v>44845</v>
      </c>
      <c r="B862" s="13">
        <v>16983.55</v>
      </c>
      <c r="C862" s="13">
        <v>17256.05</v>
      </c>
      <c r="D862" s="13">
        <v>17261.8</v>
      </c>
      <c r="E862" s="13">
        <v>16950.3</v>
      </c>
      <c r="F862" t="s">
        <v>463</v>
      </c>
      <c r="G862" s="4">
        <v>-1.49E-2</v>
      </c>
    </row>
    <row r="863" spans="1:7" x14ac:dyDescent="0.3">
      <c r="A863" s="25">
        <v>44844</v>
      </c>
      <c r="B863" s="13">
        <v>17241</v>
      </c>
      <c r="C863" s="13">
        <v>17094.349999999999</v>
      </c>
      <c r="D863" s="13">
        <v>17280.150000000001</v>
      </c>
      <c r="E863" s="13">
        <v>17064.7</v>
      </c>
      <c r="F863" t="s">
        <v>462</v>
      </c>
      <c r="G863" s="4">
        <v>-4.3E-3</v>
      </c>
    </row>
    <row r="864" spans="1:7" x14ac:dyDescent="0.3">
      <c r="A864" s="25">
        <v>44841</v>
      </c>
      <c r="B864" s="13">
        <v>17314.650000000001</v>
      </c>
      <c r="C864" s="13">
        <v>17287.2</v>
      </c>
      <c r="D864" s="13">
        <v>17337.349999999999</v>
      </c>
      <c r="E864" s="13">
        <v>17216.95</v>
      </c>
      <c r="F864" t="s">
        <v>156</v>
      </c>
      <c r="G864" s="4">
        <v>-1E-3</v>
      </c>
    </row>
    <row r="865" spans="1:7" x14ac:dyDescent="0.3">
      <c r="A865" s="25">
        <v>44840</v>
      </c>
      <c r="B865" s="13">
        <v>17331.8</v>
      </c>
      <c r="C865" s="13">
        <v>17379.25</v>
      </c>
      <c r="D865" s="13">
        <v>17428.8</v>
      </c>
      <c r="E865" s="13">
        <v>17315.650000000001</v>
      </c>
      <c r="F865" t="s">
        <v>461</v>
      </c>
      <c r="G865" s="4">
        <v>3.3E-3</v>
      </c>
    </row>
    <row r="866" spans="1:7" x14ac:dyDescent="0.3">
      <c r="A866" s="25">
        <v>44838</v>
      </c>
      <c r="B866" s="13">
        <v>17274.3</v>
      </c>
      <c r="C866" s="13">
        <v>17147.45</v>
      </c>
      <c r="D866" s="13">
        <v>17287.3</v>
      </c>
      <c r="E866" s="13">
        <v>17117.3</v>
      </c>
      <c r="F866" t="s">
        <v>460</v>
      </c>
      <c r="G866" s="4">
        <v>2.29E-2</v>
      </c>
    </row>
    <row r="867" spans="1:7" x14ac:dyDescent="0.3">
      <c r="A867" s="25">
        <v>44837</v>
      </c>
      <c r="B867" s="13">
        <v>16887.349999999999</v>
      </c>
      <c r="C867" s="13">
        <v>17102.099999999999</v>
      </c>
      <c r="D867" s="13">
        <v>17114.650000000001</v>
      </c>
      <c r="E867" s="13">
        <v>16855.55</v>
      </c>
      <c r="F867" t="s">
        <v>459</v>
      </c>
      <c r="G867" s="4">
        <v>-1.21E-2</v>
      </c>
    </row>
    <row r="868" spans="1:7" x14ac:dyDescent="0.3">
      <c r="A868" s="25">
        <v>44834</v>
      </c>
      <c r="B868" s="13">
        <v>17094.349999999999</v>
      </c>
      <c r="C868" s="13">
        <v>16798.05</v>
      </c>
      <c r="D868" s="13">
        <v>17187.099999999999</v>
      </c>
      <c r="E868" s="13">
        <v>16747.7</v>
      </c>
      <c r="F868" t="s">
        <v>458</v>
      </c>
      <c r="G868" s="4">
        <v>1.6400000000000001E-2</v>
      </c>
    </row>
    <row r="869" spans="1:7" x14ac:dyDescent="0.3">
      <c r="A869" s="25">
        <v>44833</v>
      </c>
      <c r="B869" s="13">
        <v>16818.099999999999</v>
      </c>
      <c r="C869" s="13">
        <v>16993.599999999999</v>
      </c>
      <c r="D869" s="13">
        <v>17026.05</v>
      </c>
      <c r="E869" s="13">
        <v>16788.599999999999</v>
      </c>
      <c r="F869" t="s">
        <v>457</v>
      </c>
      <c r="G869" s="4">
        <v>-2.3999999999999998E-3</v>
      </c>
    </row>
    <row r="870" spans="1:7" x14ac:dyDescent="0.3">
      <c r="A870" s="25">
        <v>44832</v>
      </c>
      <c r="B870" s="13">
        <v>16858.599999999999</v>
      </c>
      <c r="C870" s="13">
        <v>16870.55</v>
      </c>
      <c r="D870" s="13">
        <v>17037.599999999999</v>
      </c>
      <c r="E870" s="13">
        <v>16820.400000000001</v>
      </c>
      <c r="F870" t="s">
        <v>456</v>
      </c>
      <c r="G870" s="4">
        <v>-8.6999999999999994E-3</v>
      </c>
    </row>
    <row r="871" spans="1:7" x14ac:dyDescent="0.3">
      <c r="A871" s="25">
        <v>44831</v>
      </c>
      <c r="B871" s="13">
        <v>17007.400000000001</v>
      </c>
      <c r="C871" s="13">
        <v>17110.900000000001</v>
      </c>
      <c r="D871" s="13">
        <v>17176.45</v>
      </c>
      <c r="E871" s="13">
        <v>16942.349999999999</v>
      </c>
      <c r="F871" t="s">
        <v>455</v>
      </c>
      <c r="G871" s="4">
        <v>-5.0000000000000001E-4</v>
      </c>
    </row>
    <row r="872" spans="1:7" x14ac:dyDescent="0.3">
      <c r="A872" s="25">
        <v>44830</v>
      </c>
      <c r="B872" s="13">
        <v>17016.3</v>
      </c>
      <c r="C872" s="13">
        <v>17156.3</v>
      </c>
      <c r="D872" s="13">
        <v>17196.400000000001</v>
      </c>
      <c r="E872" s="13">
        <v>16978.3</v>
      </c>
      <c r="F872" t="s">
        <v>454</v>
      </c>
      <c r="G872" s="4">
        <v>-1.7999999999999999E-2</v>
      </c>
    </row>
    <row r="873" spans="1:7" x14ac:dyDescent="0.3">
      <c r="A873" s="25">
        <v>44827</v>
      </c>
      <c r="B873" s="13">
        <v>17327.349999999999</v>
      </c>
      <c r="C873" s="13">
        <v>17593.849999999999</v>
      </c>
      <c r="D873" s="13">
        <v>17642.150000000001</v>
      </c>
      <c r="E873" s="13">
        <v>17291.650000000001</v>
      </c>
      <c r="F873" t="s">
        <v>453</v>
      </c>
      <c r="G873" s="4">
        <v>-1.72E-2</v>
      </c>
    </row>
    <row r="874" spans="1:7" x14ac:dyDescent="0.3">
      <c r="A874" s="25">
        <v>44826</v>
      </c>
      <c r="B874" s="13">
        <v>17629.8</v>
      </c>
      <c r="C874" s="13">
        <v>17609.650000000001</v>
      </c>
      <c r="D874" s="13">
        <v>17722.75</v>
      </c>
      <c r="E874" s="13">
        <v>17532.45</v>
      </c>
      <c r="F874" t="s">
        <v>452</v>
      </c>
      <c r="G874" s="4">
        <v>-5.0000000000000001E-3</v>
      </c>
    </row>
    <row r="875" spans="1:7" x14ac:dyDescent="0.3">
      <c r="A875" s="25">
        <v>44825</v>
      </c>
      <c r="B875" s="13">
        <v>17718.349999999999</v>
      </c>
      <c r="C875" s="13">
        <v>17766.349999999999</v>
      </c>
      <c r="D875" s="13">
        <v>17838.7</v>
      </c>
      <c r="E875" s="13">
        <v>17663.599999999999</v>
      </c>
      <c r="F875" t="s">
        <v>451</v>
      </c>
      <c r="G875" s="4">
        <v>-5.4999999999999997E-3</v>
      </c>
    </row>
    <row r="876" spans="1:7" x14ac:dyDescent="0.3">
      <c r="A876" s="25">
        <v>44824</v>
      </c>
      <c r="B876" s="13">
        <v>17816.25</v>
      </c>
      <c r="C876" s="13">
        <v>17770.400000000001</v>
      </c>
      <c r="D876" s="13">
        <v>17919.3</v>
      </c>
      <c r="E876" s="13">
        <v>17744.400000000001</v>
      </c>
      <c r="F876" t="s">
        <v>450</v>
      </c>
      <c r="G876" s="4">
        <v>1.0999999999999999E-2</v>
      </c>
    </row>
    <row r="877" spans="1:7" x14ac:dyDescent="0.3">
      <c r="A877" s="25">
        <v>44823</v>
      </c>
      <c r="B877" s="13">
        <v>17622.25</v>
      </c>
      <c r="C877" s="13">
        <v>17540.650000000001</v>
      </c>
      <c r="D877" s="13">
        <v>17667.2</v>
      </c>
      <c r="E877" s="13">
        <v>17429.7</v>
      </c>
      <c r="F877" t="s">
        <v>449</v>
      </c>
      <c r="G877" s="4">
        <v>5.1999999999999998E-3</v>
      </c>
    </row>
    <row r="878" spans="1:7" x14ac:dyDescent="0.3">
      <c r="A878" s="25">
        <v>44820</v>
      </c>
      <c r="B878" s="13">
        <v>17530.849999999999</v>
      </c>
      <c r="C878" s="13">
        <v>17796.8</v>
      </c>
      <c r="D878" s="13">
        <v>17820.05</v>
      </c>
      <c r="E878" s="13">
        <v>17497.25</v>
      </c>
      <c r="F878" t="s">
        <v>448</v>
      </c>
      <c r="G878" s="4">
        <v>-1.9400000000000001E-2</v>
      </c>
    </row>
    <row r="879" spans="1:7" x14ac:dyDescent="0.3">
      <c r="A879" s="25">
        <v>44819</v>
      </c>
      <c r="B879" s="13">
        <v>17877.400000000001</v>
      </c>
      <c r="C879" s="13">
        <v>18046.349999999999</v>
      </c>
      <c r="D879" s="13">
        <v>18096.150000000001</v>
      </c>
      <c r="E879" s="13">
        <v>17861.5</v>
      </c>
      <c r="F879" t="s">
        <v>447</v>
      </c>
      <c r="G879" s="4">
        <v>-7.0000000000000001E-3</v>
      </c>
    </row>
    <row r="880" spans="1:7" x14ac:dyDescent="0.3">
      <c r="A880" s="25">
        <v>44818</v>
      </c>
      <c r="B880" s="13">
        <v>18003.75</v>
      </c>
      <c r="C880" s="13">
        <v>17771.150000000001</v>
      </c>
      <c r="D880" s="13">
        <v>18091.55</v>
      </c>
      <c r="E880" s="13">
        <v>17771.150000000001</v>
      </c>
      <c r="F880" t="s">
        <v>446</v>
      </c>
      <c r="G880" s="4">
        <v>-3.7000000000000002E-3</v>
      </c>
    </row>
    <row r="881" spans="1:7" x14ac:dyDescent="0.3">
      <c r="A881" s="25">
        <v>44817</v>
      </c>
      <c r="B881" s="13">
        <v>18070.05</v>
      </c>
      <c r="C881" s="13">
        <v>18044.45</v>
      </c>
      <c r="D881" s="13">
        <v>18088.3</v>
      </c>
      <c r="E881" s="13">
        <v>18015.45</v>
      </c>
      <c r="F881" t="s">
        <v>445</v>
      </c>
      <c r="G881" s="4">
        <v>7.4999999999999997E-3</v>
      </c>
    </row>
    <row r="882" spans="1:7" x14ac:dyDescent="0.3">
      <c r="A882" s="25">
        <v>44816</v>
      </c>
      <c r="B882" s="13">
        <v>17936.349999999999</v>
      </c>
      <c r="C882" s="13">
        <v>17890.849999999999</v>
      </c>
      <c r="D882" s="13">
        <v>17980.55</v>
      </c>
      <c r="E882" s="13">
        <v>17889.150000000001</v>
      </c>
      <c r="F882" t="s">
        <v>444</v>
      </c>
      <c r="G882" s="4">
        <v>5.7999999999999996E-3</v>
      </c>
    </row>
    <row r="883" spans="1:7" x14ac:dyDescent="0.3">
      <c r="A883" s="25">
        <v>44813</v>
      </c>
      <c r="B883" s="13">
        <v>17833.349999999999</v>
      </c>
      <c r="C883" s="13">
        <v>17923.349999999999</v>
      </c>
      <c r="D883" s="13">
        <v>17925.95</v>
      </c>
      <c r="E883" s="13">
        <v>17786</v>
      </c>
      <c r="F883" t="s">
        <v>443</v>
      </c>
      <c r="G883" s="4">
        <v>1.9E-3</v>
      </c>
    </row>
    <row r="884" spans="1:7" x14ac:dyDescent="0.3">
      <c r="A884" s="25">
        <v>44812</v>
      </c>
      <c r="B884" s="13">
        <v>17798.75</v>
      </c>
      <c r="C884" s="13">
        <v>17748.150000000001</v>
      </c>
      <c r="D884" s="13">
        <v>17807.650000000001</v>
      </c>
      <c r="E884" s="13">
        <v>17691.95</v>
      </c>
      <c r="F884" t="s">
        <v>442</v>
      </c>
      <c r="G884" s="4">
        <v>9.9000000000000008E-3</v>
      </c>
    </row>
    <row r="885" spans="1:7" x14ac:dyDescent="0.3">
      <c r="A885" s="25">
        <v>44811</v>
      </c>
      <c r="B885" s="13">
        <v>17624.400000000001</v>
      </c>
      <c r="C885" s="13">
        <v>17519.400000000001</v>
      </c>
      <c r="D885" s="13">
        <v>17650.75</v>
      </c>
      <c r="E885" s="13">
        <v>17484.3</v>
      </c>
      <c r="F885" t="s">
        <v>441</v>
      </c>
      <c r="G885" s="4">
        <v>-1.8E-3</v>
      </c>
    </row>
    <row r="886" spans="1:7" x14ac:dyDescent="0.3">
      <c r="A886" s="25">
        <v>44810</v>
      </c>
      <c r="B886" s="13">
        <v>17655.599999999999</v>
      </c>
      <c r="C886" s="13">
        <v>17695.7</v>
      </c>
      <c r="D886" s="13">
        <v>17764.650000000001</v>
      </c>
      <c r="E886" s="13">
        <v>17587.650000000001</v>
      </c>
      <c r="F886" t="s">
        <v>440</v>
      </c>
      <c r="G886" s="4">
        <v>-5.9999999999999995E-4</v>
      </c>
    </row>
    <row r="887" spans="1:7" x14ac:dyDescent="0.3">
      <c r="A887" s="25">
        <v>44809</v>
      </c>
      <c r="B887" s="13">
        <v>17665.8</v>
      </c>
      <c r="C887" s="13">
        <v>17546.45</v>
      </c>
      <c r="D887" s="13">
        <v>17683.150000000001</v>
      </c>
      <c r="E887" s="13">
        <v>17540.349999999999</v>
      </c>
      <c r="F887" t="s">
        <v>439</v>
      </c>
      <c r="G887" s="4">
        <v>7.1999999999999998E-3</v>
      </c>
    </row>
    <row r="888" spans="1:7" x14ac:dyDescent="0.3">
      <c r="A888" s="25">
        <v>44806</v>
      </c>
      <c r="B888" s="13">
        <v>17539.45</v>
      </c>
      <c r="C888" s="13">
        <v>17598.400000000001</v>
      </c>
      <c r="D888" s="13">
        <v>17643.849999999999</v>
      </c>
      <c r="E888" s="13">
        <v>17476.45</v>
      </c>
      <c r="F888" t="s">
        <v>438</v>
      </c>
      <c r="G888" s="4">
        <v>-2.0000000000000001E-4</v>
      </c>
    </row>
    <row r="889" spans="1:7" x14ac:dyDescent="0.3">
      <c r="A889" s="25">
        <v>44805</v>
      </c>
      <c r="B889" s="13">
        <v>17542.8</v>
      </c>
      <c r="C889" s="13">
        <v>17485.7</v>
      </c>
      <c r="D889" s="13">
        <v>17695.599999999999</v>
      </c>
      <c r="E889" s="13">
        <v>17468.45</v>
      </c>
      <c r="F889" t="s">
        <v>437</v>
      </c>
      <c r="G889" s="4">
        <v>-1.2200000000000001E-2</v>
      </c>
    </row>
    <row r="890" spans="1:7" x14ac:dyDescent="0.3">
      <c r="A890" s="25">
        <v>44803</v>
      </c>
      <c r="B890" s="13">
        <v>17759.3</v>
      </c>
      <c r="C890" s="13">
        <v>17414.95</v>
      </c>
      <c r="D890" s="13">
        <v>17777.650000000001</v>
      </c>
      <c r="E890" s="13">
        <v>17401.5</v>
      </c>
      <c r="F890" t="s">
        <v>436</v>
      </c>
      <c r="G890" s="4">
        <v>2.58E-2</v>
      </c>
    </row>
    <row r="891" spans="1:7" x14ac:dyDescent="0.3">
      <c r="A891" s="25">
        <v>44802</v>
      </c>
      <c r="B891" s="13">
        <v>17312.900000000001</v>
      </c>
      <c r="C891" s="13">
        <v>17188.650000000001</v>
      </c>
      <c r="D891" s="13">
        <v>17380.150000000001</v>
      </c>
      <c r="E891" s="13">
        <v>17166.2</v>
      </c>
      <c r="F891" t="s">
        <v>435</v>
      </c>
      <c r="G891" s="4">
        <v>-1.4E-2</v>
      </c>
    </row>
    <row r="892" spans="1:7" x14ac:dyDescent="0.3">
      <c r="A892" s="25">
        <v>44799</v>
      </c>
      <c r="B892" s="13">
        <v>17558.900000000001</v>
      </c>
      <c r="C892" s="13">
        <v>17619.3</v>
      </c>
      <c r="D892" s="13">
        <v>17685.849999999999</v>
      </c>
      <c r="E892" s="13">
        <v>17519.349999999999</v>
      </c>
      <c r="F892" t="s">
        <v>434</v>
      </c>
      <c r="G892" s="4">
        <v>2.0999999999999999E-3</v>
      </c>
    </row>
    <row r="893" spans="1:7" x14ac:dyDescent="0.3">
      <c r="A893" s="25">
        <v>44798</v>
      </c>
      <c r="B893" s="13">
        <v>17522.45</v>
      </c>
      <c r="C893" s="13">
        <v>17679</v>
      </c>
      <c r="D893" s="13">
        <v>17726.5</v>
      </c>
      <c r="E893" s="13">
        <v>17487.45</v>
      </c>
      <c r="F893" t="s">
        <v>433</v>
      </c>
      <c r="G893" s="4">
        <v>-4.7000000000000002E-3</v>
      </c>
    </row>
    <row r="894" spans="1:7" x14ac:dyDescent="0.3">
      <c r="A894" s="25">
        <v>44797</v>
      </c>
      <c r="B894" s="13">
        <v>17604.95</v>
      </c>
      <c r="C894" s="13">
        <v>17525.45</v>
      </c>
      <c r="D894" s="13">
        <v>17623.650000000001</v>
      </c>
      <c r="E894" s="13">
        <v>17499.25</v>
      </c>
      <c r="F894" t="s">
        <v>432</v>
      </c>
      <c r="G894" s="4">
        <v>1.6000000000000001E-3</v>
      </c>
    </row>
    <row r="895" spans="1:7" x14ac:dyDescent="0.3">
      <c r="A895" s="25">
        <v>44796</v>
      </c>
      <c r="B895" s="13">
        <v>17577.5</v>
      </c>
      <c r="C895" s="13">
        <v>17357.349999999999</v>
      </c>
      <c r="D895" s="13">
        <v>17625.55</v>
      </c>
      <c r="E895" s="13">
        <v>17345.2</v>
      </c>
      <c r="F895" t="s">
        <v>431</v>
      </c>
      <c r="G895" s="4">
        <v>5.0000000000000001E-3</v>
      </c>
    </row>
    <row r="896" spans="1:7" x14ac:dyDescent="0.3">
      <c r="A896" s="25">
        <v>44795</v>
      </c>
      <c r="B896" s="13">
        <v>17490.7</v>
      </c>
      <c r="C896" s="13">
        <v>17682.900000000001</v>
      </c>
      <c r="D896" s="13">
        <v>17690.05</v>
      </c>
      <c r="E896" s="13">
        <v>17467.349999999999</v>
      </c>
      <c r="F896" t="s">
        <v>430</v>
      </c>
      <c r="G896" s="4">
        <v>-1.5100000000000001E-2</v>
      </c>
    </row>
    <row r="897" spans="1:7" x14ac:dyDescent="0.3">
      <c r="A897" s="25">
        <v>44792</v>
      </c>
      <c r="B897" s="13">
        <v>17758.45</v>
      </c>
      <c r="C897" s="13">
        <v>17966.55</v>
      </c>
      <c r="D897" s="13">
        <v>17992.2</v>
      </c>
      <c r="E897" s="13">
        <v>17710.75</v>
      </c>
      <c r="F897" t="s">
        <v>429</v>
      </c>
      <c r="G897" s="4">
        <v>-1.0999999999999999E-2</v>
      </c>
    </row>
    <row r="898" spans="1:7" x14ac:dyDescent="0.3">
      <c r="A898" s="25">
        <v>44791</v>
      </c>
      <c r="B898" s="13">
        <v>17956.5</v>
      </c>
      <c r="C898" s="13">
        <v>17898.650000000001</v>
      </c>
      <c r="D898" s="13">
        <v>17968.45</v>
      </c>
      <c r="E898" s="13">
        <v>17852.05</v>
      </c>
      <c r="F898" t="s">
        <v>428</v>
      </c>
      <c r="G898" s="4">
        <v>6.9999999999999999E-4</v>
      </c>
    </row>
    <row r="899" spans="1:7" x14ac:dyDescent="0.3">
      <c r="A899" s="25">
        <v>44790</v>
      </c>
      <c r="B899" s="13">
        <v>17944.25</v>
      </c>
      <c r="C899" s="13">
        <v>17868.150000000001</v>
      </c>
      <c r="D899" s="13">
        <v>17965.95</v>
      </c>
      <c r="E899" s="13">
        <v>17833.349999999999</v>
      </c>
      <c r="F899" t="s">
        <v>427</v>
      </c>
      <c r="G899" s="4">
        <v>6.7000000000000002E-3</v>
      </c>
    </row>
    <row r="900" spans="1:7" x14ac:dyDescent="0.3">
      <c r="A900" s="25">
        <v>44789</v>
      </c>
      <c r="B900" s="13">
        <v>17825.25</v>
      </c>
      <c r="C900" s="13">
        <v>17797.2</v>
      </c>
      <c r="D900" s="13">
        <v>17839.099999999999</v>
      </c>
      <c r="E900" s="13">
        <v>17764.05</v>
      </c>
      <c r="G900" s="4">
        <v>7.1999999999999998E-3</v>
      </c>
    </row>
    <row r="901" spans="1:7" x14ac:dyDescent="0.3">
      <c r="A901" s="25">
        <v>44785</v>
      </c>
      <c r="B901" s="13">
        <v>17698.150000000001</v>
      </c>
      <c r="C901" s="13">
        <v>17659.650000000001</v>
      </c>
      <c r="D901" s="13">
        <v>17724.650000000001</v>
      </c>
      <c r="E901" s="13">
        <v>17597.849999999999</v>
      </c>
      <c r="F901" t="s">
        <v>426</v>
      </c>
      <c r="G901" s="4">
        <v>2.2000000000000001E-3</v>
      </c>
    </row>
    <row r="902" spans="1:7" x14ac:dyDescent="0.3">
      <c r="A902" s="25">
        <v>44784</v>
      </c>
      <c r="B902" s="13">
        <v>17659</v>
      </c>
      <c r="C902" s="13">
        <v>17711.650000000001</v>
      </c>
      <c r="D902" s="13">
        <v>17719.3</v>
      </c>
      <c r="E902" s="13">
        <v>17631.95</v>
      </c>
      <c r="F902" t="s">
        <v>425</v>
      </c>
      <c r="G902" s="4">
        <v>7.1000000000000004E-3</v>
      </c>
    </row>
    <row r="903" spans="1:7" x14ac:dyDescent="0.3">
      <c r="A903" s="25">
        <v>44783</v>
      </c>
      <c r="B903" s="13">
        <v>17534.75</v>
      </c>
      <c r="C903" s="13">
        <v>17566.099999999999</v>
      </c>
      <c r="D903" s="13">
        <v>17566.099999999999</v>
      </c>
      <c r="E903" s="13">
        <v>17442.8</v>
      </c>
      <c r="F903" t="s">
        <v>424</v>
      </c>
      <c r="G903" s="4">
        <v>5.9999999999999995E-4</v>
      </c>
    </row>
    <row r="904" spans="1:7" x14ac:dyDescent="0.3">
      <c r="A904" s="25">
        <v>44781</v>
      </c>
      <c r="B904" s="13">
        <v>17525.099999999999</v>
      </c>
      <c r="C904" s="13">
        <v>17401.5</v>
      </c>
      <c r="D904" s="13">
        <v>17548.8</v>
      </c>
      <c r="E904" s="13">
        <v>17359.75</v>
      </c>
      <c r="F904" t="s">
        <v>423</v>
      </c>
      <c r="G904" s="4">
        <v>7.3000000000000001E-3</v>
      </c>
    </row>
    <row r="905" spans="1:7" x14ac:dyDescent="0.3">
      <c r="A905" s="25">
        <v>44778</v>
      </c>
      <c r="B905" s="13">
        <v>17397.5</v>
      </c>
      <c r="C905" s="13">
        <v>17423.650000000001</v>
      </c>
      <c r="D905" s="13">
        <v>17474.400000000001</v>
      </c>
      <c r="E905" s="13">
        <v>17348.75</v>
      </c>
      <c r="F905" t="s">
        <v>422</v>
      </c>
      <c r="G905" s="4">
        <v>8.9999999999999998E-4</v>
      </c>
    </row>
    <row r="906" spans="1:7" x14ac:dyDescent="0.3">
      <c r="A906" s="25">
        <v>44777</v>
      </c>
      <c r="B906" s="13">
        <v>17382</v>
      </c>
      <c r="C906" s="13">
        <v>17463.099999999999</v>
      </c>
      <c r="D906" s="13">
        <v>17490.7</v>
      </c>
      <c r="E906" s="13">
        <v>17161.25</v>
      </c>
      <c r="F906" t="s">
        <v>421</v>
      </c>
      <c r="G906" s="4">
        <v>-4.0000000000000002E-4</v>
      </c>
    </row>
    <row r="907" spans="1:7" x14ac:dyDescent="0.3">
      <c r="A907" s="25">
        <v>44776</v>
      </c>
      <c r="B907" s="13">
        <v>17388.150000000001</v>
      </c>
      <c r="C907" s="13">
        <v>17349.25</v>
      </c>
      <c r="D907" s="13">
        <v>17407.5</v>
      </c>
      <c r="E907" s="13">
        <v>17225.849999999999</v>
      </c>
      <c r="F907" t="s">
        <v>420</v>
      </c>
      <c r="G907" s="4">
        <v>2.5000000000000001E-3</v>
      </c>
    </row>
    <row r="908" spans="1:7" x14ac:dyDescent="0.3">
      <c r="A908" s="25">
        <v>44775</v>
      </c>
      <c r="B908" s="13">
        <v>17345.45</v>
      </c>
      <c r="C908" s="13">
        <v>17310.150000000001</v>
      </c>
      <c r="D908" s="13">
        <v>17390.150000000001</v>
      </c>
      <c r="E908" s="13">
        <v>17215.849999999999</v>
      </c>
      <c r="F908" t="s">
        <v>419</v>
      </c>
      <c r="G908" s="4">
        <v>2.9999999999999997E-4</v>
      </c>
    </row>
    <row r="909" spans="1:7" x14ac:dyDescent="0.3">
      <c r="A909" s="25">
        <v>44774</v>
      </c>
      <c r="B909" s="13">
        <v>17340.05</v>
      </c>
      <c r="C909" s="13">
        <v>17243.2</v>
      </c>
      <c r="D909" s="13">
        <v>17356.25</v>
      </c>
      <c r="E909" s="13">
        <v>17154.8</v>
      </c>
      <c r="F909" t="s">
        <v>418</v>
      </c>
      <c r="G909" s="4">
        <v>1.06E-2</v>
      </c>
    </row>
    <row r="910" spans="1:7" x14ac:dyDescent="0.3">
      <c r="A910" s="25">
        <v>44771</v>
      </c>
      <c r="B910" s="13">
        <v>17158.25</v>
      </c>
      <c r="C910" s="13">
        <v>17079.5</v>
      </c>
      <c r="D910" s="13">
        <v>17172.8</v>
      </c>
      <c r="E910" s="13">
        <v>17018.150000000001</v>
      </c>
      <c r="F910" t="s">
        <v>417</v>
      </c>
      <c r="G910" s="4">
        <v>1.35E-2</v>
      </c>
    </row>
    <row r="911" spans="1:7" x14ac:dyDescent="0.3">
      <c r="A911" s="25">
        <v>44770</v>
      </c>
      <c r="B911" s="13">
        <v>16929.599999999999</v>
      </c>
      <c r="C911" s="13">
        <v>16774.849999999999</v>
      </c>
      <c r="D911" s="13">
        <v>16947.650000000001</v>
      </c>
      <c r="E911" s="13">
        <v>16746.25</v>
      </c>
      <c r="F911" t="s">
        <v>416</v>
      </c>
      <c r="G911" s="4">
        <v>1.7299999999999999E-2</v>
      </c>
    </row>
    <row r="912" spans="1:7" x14ac:dyDescent="0.3">
      <c r="A912" s="25">
        <v>44769</v>
      </c>
      <c r="B912" s="13">
        <v>16641.8</v>
      </c>
      <c r="C912" s="13">
        <v>16475.349999999999</v>
      </c>
      <c r="D912" s="13">
        <v>16653.45</v>
      </c>
      <c r="E912" s="13">
        <v>16438.75</v>
      </c>
      <c r="F912" t="s">
        <v>415</v>
      </c>
      <c r="G912" s="4">
        <v>9.5999999999999992E-3</v>
      </c>
    </row>
    <row r="913" spans="1:7" x14ac:dyDescent="0.3">
      <c r="A913" s="25">
        <v>44768</v>
      </c>
      <c r="B913" s="13">
        <v>16483.849999999999</v>
      </c>
      <c r="C913" s="13">
        <v>16632.900000000001</v>
      </c>
      <c r="D913" s="13">
        <v>16636.099999999999</v>
      </c>
      <c r="E913" s="13">
        <v>16463.3</v>
      </c>
      <c r="F913" t="s">
        <v>414</v>
      </c>
      <c r="G913" s="4">
        <v>-8.8000000000000005E-3</v>
      </c>
    </row>
    <row r="914" spans="1:7" x14ac:dyDescent="0.3">
      <c r="A914" s="25">
        <v>44767</v>
      </c>
      <c r="B914" s="13">
        <v>16631</v>
      </c>
      <c r="C914" s="13">
        <v>16662.55</v>
      </c>
      <c r="D914" s="13">
        <v>16706.05</v>
      </c>
      <c r="E914" s="13">
        <v>16564.25</v>
      </c>
      <c r="F914" t="s">
        <v>413</v>
      </c>
      <c r="G914" s="4">
        <v>-5.3E-3</v>
      </c>
    </row>
    <row r="915" spans="1:7" x14ac:dyDescent="0.3">
      <c r="A915" s="25">
        <v>44764</v>
      </c>
      <c r="B915" s="13">
        <v>16719.45</v>
      </c>
      <c r="C915" s="13">
        <v>16661.25</v>
      </c>
      <c r="D915" s="13">
        <v>16752.25</v>
      </c>
      <c r="E915" s="13">
        <v>16610.900000000001</v>
      </c>
      <c r="F915" t="s">
        <v>412</v>
      </c>
      <c r="G915" s="4">
        <v>6.8999999999999999E-3</v>
      </c>
    </row>
    <row r="916" spans="1:7" x14ac:dyDescent="0.3">
      <c r="A916" s="25">
        <v>44763</v>
      </c>
      <c r="B916" s="13">
        <v>16605.25</v>
      </c>
      <c r="C916" s="13">
        <v>16523.55</v>
      </c>
      <c r="D916" s="13">
        <v>16626.95</v>
      </c>
      <c r="E916" s="13">
        <v>16483.900000000001</v>
      </c>
      <c r="F916" t="s">
        <v>411</v>
      </c>
      <c r="G916" s="4">
        <v>5.1000000000000004E-3</v>
      </c>
    </row>
    <row r="917" spans="1:7" x14ac:dyDescent="0.3">
      <c r="A917" s="25">
        <v>44762</v>
      </c>
      <c r="B917" s="13">
        <v>16520.849999999999</v>
      </c>
      <c r="C917" s="13">
        <v>16562.8</v>
      </c>
      <c r="D917" s="13">
        <v>16588</v>
      </c>
      <c r="E917" s="13">
        <v>16490.95</v>
      </c>
      <c r="F917" t="s">
        <v>410</v>
      </c>
      <c r="G917" s="4">
        <v>1.0999999999999999E-2</v>
      </c>
    </row>
    <row r="918" spans="1:7" x14ac:dyDescent="0.3">
      <c r="A918" s="25">
        <v>44761</v>
      </c>
      <c r="B918" s="13">
        <v>16340.55</v>
      </c>
      <c r="C918" s="13">
        <v>16187.05</v>
      </c>
      <c r="D918" s="13">
        <v>16359.5</v>
      </c>
      <c r="E918" s="13">
        <v>16187.05</v>
      </c>
      <c r="F918" t="s">
        <v>409</v>
      </c>
      <c r="G918" s="4">
        <v>3.8E-3</v>
      </c>
    </row>
    <row r="919" spans="1:7" x14ac:dyDescent="0.3">
      <c r="A919" s="25">
        <v>44760</v>
      </c>
      <c r="B919" s="13">
        <v>16278.5</v>
      </c>
      <c r="C919" s="13">
        <v>16151.4</v>
      </c>
      <c r="D919" s="13">
        <v>16287.95</v>
      </c>
      <c r="E919" s="13">
        <v>16142.2</v>
      </c>
      <c r="F919" t="s">
        <v>408</v>
      </c>
      <c r="G919" s="4">
        <v>1.43E-2</v>
      </c>
    </row>
    <row r="920" spans="1:7" x14ac:dyDescent="0.3">
      <c r="A920" s="25">
        <v>44757</v>
      </c>
      <c r="B920" s="13">
        <v>16049.2</v>
      </c>
      <c r="C920" s="13">
        <v>16010.8</v>
      </c>
      <c r="D920" s="13">
        <v>16066.95</v>
      </c>
      <c r="E920" s="13">
        <v>15927.3</v>
      </c>
      <c r="F920" t="s">
        <v>407</v>
      </c>
      <c r="G920" s="4">
        <v>6.8999999999999999E-3</v>
      </c>
    </row>
    <row r="921" spans="1:7" x14ac:dyDescent="0.3">
      <c r="A921" s="25">
        <v>44756</v>
      </c>
      <c r="B921" s="13">
        <v>15938.65</v>
      </c>
      <c r="C921" s="13">
        <v>16018.85</v>
      </c>
      <c r="D921" s="13">
        <v>16070.85</v>
      </c>
      <c r="E921" s="13">
        <v>15858.2</v>
      </c>
      <c r="F921" t="s">
        <v>406</v>
      </c>
      <c r="G921" s="4">
        <v>-1.8E-3</v>
      </c>
    </row>
    <row r="922" spans="1:7" x14ac:dyDescent="0.3">
      <c r="A922" s="25">
        <v>44755</v>
      </c>
      <c r="B922" s="13">
        <v>15966.65</v>
      </c>
      <c r="C922" s="13">
        <v>16128.2</v>
      </c>
      <c r="D922" s="13">
        <v>16140</v>
      </c>
      <c r="E922" s="13">
        <v>15950.15</v>
      </c>
      <c r="F922" t="s">
        <v>405</v>
      </c>
      <c r="G922" s="4">
        <v>-5.7000000000000002E-3</v>
      </c>
    </row>
    <row r="923" spans="1:7" x14ac:dyDescent="0.3">
      <c r="A923" s="25">
        <v>44754</v>
      </c>
      <c r="B923" s="13">
        <v>16058.3</v>
      </c>
      <c r="C923" s="13">
        <v>16126.2</v>
      </c>
      <c r="D923" s="13">
        <v>16158.75</v>
      </c>
      <c r="E923" s="13">
        <v>16031.15</v>
      </c>
      <c r="F923" t="s">
        <v>404</v>
      </c>
      <c r="G923" s="4">
        <v>-9.7000000000000003E-3</v>
      </c>
    </row>
    <row r="924" spans="1:7" x14ac:dyDescent="0.3">
      <c r="A924" s="25">
        <v>44753</v>
      </c>
      <c r="B924" s="13">
        <v>16216</v>
      </c>
      <c r="C924" s="13">
        <v>16136.15</v>
      </c>
      <c r="D924" s="13">
        <v>16248.55</v>
      </c>
      <c r="E924" s="13">
        <v>16115.5</v>
      </c>
      <c r="F924" t="s">
        <v>403</v>
      </c>
      <c r="G924" s="4">
        <v>-2.9999999999999997E-4</v>
      </c>
    </row>
    <row r="925" spans="1:7" x14ac:dyDescent="0.3">
      <c r="A925" s="25">
        <v>44750</v>
      </c>
      <c r="B925" s="13">
        <v>16220.6</v>
      </c>
      <c r="C925" s="13">
        <v>16273.65</v>
      </c>
      <c r="D925" s="13">
        <v>16275.5</v>
      </c>
      <c r="E925" s="13">
        <v>16157.9</v>
      </c>
      <c r="F925" t="s">
        <v>402</v>
      </c>
      <c r="G925" s="4">
        <v>5.4000000000000003E-3</v>
      </c>
    </row>
    <row r="926" spans="1:7" x14ac:dyDescent="0.3">
      <c r="A926" s="25">
        <v>44749</v>
      </c>
      <c r="B926" s="13">
        <v>16132.9</v>
      </c>
      <c r="C926" s="13">
        <v>16113.75</v>
      </c>
      <c r="D926" s="13">
        <v>16150.5</v>
      </c>
      <c r="E926" s="13">
        <v>16045.95</v>
      </c>
      <c r="F926" t="s">
        <v>401</v>
      </c>
      <c r="G926" s="4">
        <v>8.8999999999999999E-3</v>
      </c>
    </row>
    <row r="927" spans="1:7" x14ac:dyDescent="0.3">
      <c r="A927" s="25">
        <v>44748</v>
      </c>
      <c r="B927" s="13">
        <v>15989.8</v>
      </c>
      <c r="C927" s="13">
        <v>15818.2</v>
      </c>
      <c r="D927" s="13">
        <v>16011.35</v>
      </c>
      <c r="E927" s="13">
        <v>15800.9</v>
      </c>
      <c r="F927" t="s">
        <v>400</v>
      </c>
      <c r="G927" s="4">
        <v>1.1299999999999999E-2</v>
      </c>
    </row>
    <row r="928" spans="1:7" x14ac:dyDescent="0.3">
      <c r="A928" s="25">
        <v>44747</v>
      </c>
      <c r="B928" s="13">
        <v>15810.85</v>
      </c>
      <c r="C928" s="13">
        <v>15909.15</v>
      </c>
      <c r="D928" s="13">
        <v>16025.75</v>
      </c>
      <c r="E928" s="13">
        <v>15785.45</v>
      </c>
      <c r="F928" t="s">
        <v>399</v>
      </c>
      <c r="G928" s="4">
        <v>-1.5E-3</v>
      </c>
    </row>
    <row r="929" spans="1:7" x14ac:dyDescent="0.3">
      <c r="A929" s="25">
        <v>44746</v>
      </c>
      <c r="B929" s="13">
        <v>15835.35</v>
      </c>
      <c r="C929" s="13">
        <v>15710.5</v>
      </c>
      <c r="D929" s="13">
        <v>15852.35</v>
      </c>
      <c r="E929" s="13">
        <v>15661.8</v>
      </c>
      <c r="F929" t="s">
        <v>398</v>
      </c>
      <c r="G929" s="4">
        <v>5.3E-3</v>
      </c>
    </row>
    <row r="930" spans="1:7" x14ac:dyDescent="0.3">
      <c r="A930" s="25">
        <v>44743</v>
      </c>
      <c r="B930" s="13">
        <v>15752.05</v>
      </c>
      <c r="C930" s="13">
        <v>15703.7</v>
      </c>
      <c r="D930" s="13">
        <v>15793.95</v>
      </c>
      <c r="E930" s="13">
        <v>15511.05</v>
      </c>
      <c r="F930" t="s">
        <v>397</v>
      </c>
      <c r="G930" s="4">
        <v>-1.8E-3</v>
      </c>
    </row>
    <row r="931" spans="1:7" x14ac:dyDescent="0.3">
      <c r="A931" s="25">
        <v>44742</v>
      </c>
      <c r="B931" s="13">
        <v>15780.25</v>
      </c>
      <c r="C931" s="13">
        <v>15774.5</v>
      </c>
      <c r="D931" s="13">
        <v>15890</v>
      </c>
      <c r="E931" s="13">
        <v>15728.85</v>
      </c>
      <c r="F931" t="s">
        <v>396</v>
      </c>
      <c r="G931" s="4">
        <v>-1.1999999999999999E-3</v>
      </c>
    </row>
    <row r="932" spans="1:7" x14ac:dyDescent="0.3">
      <c r="A932" s="25">
        <v>44741</v>
      </c>
      <c r="B932" s="13">
        <v>15799.1</v>
      </c>
      <c r="C932" s="13">
        <v>15701.7</v>
      </c>
      <c r="D932" s="13">
        <v>15861.6</v>
      </c>
      <c r="E932" s="13">
        <v>15687.8</v>
      </c>
      <c r="F932" t="s">
        <v>395</v>
      </c>
      <c r="G932" s="4">
        <v>-3.2000000000000002E-3</v>
      </c>
    </row>
    <row r="933" spans="1:7" x14ac:dyDescent="0.3">
      <c r="A933" s="25">
        <v>44740</v>
      </c>
      <c r="B933" s="13">
        <v>15850.2</v>
      </c>
      <c r="C933" s="13">
        <v>15757.45</v>
      </c>
      <c r="D933" s="13">
        <v>15892.1</v>
      </c>
      <c r="E933" s="13">
        <v>15710.15</v>
      </c>
      <c r="F933" t="s">
        <v>394</v>
      </c>
      <c r="G933" s="4">
        <v>1.1000000000000001E-3</v>
      </c>
    </row>
    <row r="934" spans="1:7" x14ac:dyDescent="0.3">
      <c r="A934" s="25">
        <v>44739</v>
      </c>
      <c r="B934" s="13">
        <v>15832.05</v>
      </c>
      <c r="C934" s="13">
        <v>15926.2</v>
      </c>
      <c r="D934" s="13">
        <v>15927.45</v>
      </c>
      <c r="E934" s="13">
        <v>15815.5</v>
      </c>
      <c r="F934" t="s">
        <v>393</v>
      </c>
      <c r="G934" s="4">
        <v>8.5000000000000006E-3</v>
      </c>
    </row>
    <row r="935" spans="1:7" x14ac:dyDescent="0.3">
      <c r="A935" s="25">
        <v>44736</v>
      </c>
      <c r="B935" s="13">
        <v>15699.25</v>
      </c>
      <c r="C935" s="13">
        <v>15657.4</v>
      </c>
      <c r="D935" s="13">
        <v>15749.25</v>
      </c>
      <c r="E935" s="13">
        <v>15619.45</v>
      </c>
      <c r="F935" t="s">
        <v>392</v>
      </c>
      <c r="G935" s="4">
        <v>9.1999999999999998E-3</v>
      </c>
    </row>
    <row r="936" spans="1:7" x14ac:dyDescent="0.3">
      <c r="A936" s="25">
        <v>44735</v>
      </c>
      <c r="B936" s="13">
        <v>15556.65</v>
      </c>
      <c r="C936" s="13">
        <v>15451.55</v>
      </c>
      <c r="D936" s="13">
        <v>15628.45</v>
      </c>
      <c r="E936" s="13">
        <v>15367.5</v>
      </c>
      <c r="F936" t="s">
        <v>391</v>
      </c>
      <c r="G936" s="4">
        <v>9.2999999999999992E-3</v>
      </c>
    </row>
    <row r="937" spans="1:7" x14ac:dyDescent="0.3">
      <c r="A937" s="25">
        <v>44734</v>
      </c>
      <c r="B937" s="13">
        <v>15413.3</v>
      </c>
      <c r="C937" s="13">
        <v>15545.65</v>
      </c>
      <c r="D937" s="13">
        <v>15565.4</v>
      </c>
      <c r="E937" s="13">
        <v>15385.95</v>
      </c>
      <c r="F937" t="s">
        <v>390</v>
      </c>
      <c r="G937" s="4">
        <v>-1.44E-2</v>
      </c>
    </row>
    <row r="938" spans="1:7" x14ac:dyDescent="0.3">
      <c r="A938" s="25">
        <v>44733</v>
      </c>
      <c r="B938" s="13">
        <v>15638.8</v>
      </c>
      <c r="C938" s="13">
        <v>15455.95</v>
      </c>
      <c r="D938" s="13">
        <v>15707.25</v>
      </c>
      <c r="E938" s="13">
        <v>15419.85</v>
      </c>
      <c r="F938" t="s">
        <v>389</v>
      </c>
      <c r="G938" s="4">
        <v>1.8800000000000001E-2</v>
      </c>
    </row>
    <row r="939" spans="1:7" x14ac:dyDescent="0.3">
      <c r="A939" s="25">
        <v>44732</v>
      </c>
      <c r="B939" s="13">
        <v>15350.15</v>
      </c>
      <c r="C939" s="13">
        <v>15334.5</v>
      </c>
      <c r="D939" s="13">
        <v>15382.5</v>
      </c>
      <c r="E939" s="13">
        <v>15191.1</v>
      </c>
      <c r="F939" t="s">
        <v>388</v>
      </c>
      <c r="G939" s="4">
        <v>3.7000000000000002E-3</v>
      </c>
    </row>
    <row r="940" spans="1:7" x14ac:dyDescent="0.3">
      <c r="A940" s="25">
        <v>44729</v>
      </c>
      <c r="B940" s="13">
        <v>15293.5</v>
      </c>
      <c r="C940" s="13">
        <v>15272.65</v>
      </c>
      <c r="D940" s="13">
        <v>15400.4</v>
      </c>
      <c r="E940" s="13">
        <v>15183.4</v>
      </c>
      <c r="F940" t="s">
        <v>387</v>
      </c>
      <c r="G940" s="4">
        <v>-4.4000000000000003E-3</v>
      </c>
    </row>
    <row r="941" spans="1:7" x14ac:dyDescent="0.3">
      <c r="A941" s="25">
        <v>44728</v>
      </c>
      <c r="B941" s="13">
        <v>15360.6</v>
      </c>
      <c r="C941" s="13">
        <v>15832.25</v>
      </c>
      <c r="D941" s="13">
        <v>15863.15</v>
      </c>
      <c r="E941" s="13">
        <v>15335.1</v>
      </c>
      <c r="F941" t="s">
        <v>386</v>
      </c>
      <c r="G941" s="4">
        <v>-2.1100000000000001E-2</v>
      </c>
    </row>
    <row r="942" spans="1:7" x14ac:dyDescent="0.3">
      <c r="A942" s="25">
        <v>44727</v>
      </c>
      <c r="B942" s="13">
        <v>15692.15</v>
      </c>
      <c r="C942" s="13">
        <v>15729.25</v>
      </c>
      <c r="D942" s="13">
        <v>15783.65</v>
      </c>
      <c r="E942" s="13">
        <v>15678.9</v>
      </c>
      <c r="F942" t="s">
        <v>385</v>
      </c>
      <c r="G942" s="4">
        <v>-2.5000000000000001E-3</v>
      </c>
    </row>
    <row r="943" spans="1:7" x14ac:dyDescent="0.3">
      <c r="A943" s="25">
        <v>44726</v>
      </c>
      <c r="B943" s="13">
        <v>15732.1</v>
      </c>
      <c r="C943" s="13">
        <v>15674.25</v>
      </c>
      <c r="D943" s="13">
        <v>15858</v>
      </c>
      <c r="E943" s="13">
        <v>15659.45</v>
      </c>
      <c r="F943" t="s">
        <v>384</v>
      </c>
      <c r="G943" s="4">
        <v>-2.7000000000000001E-3</v>
      </c>
    </row>
    <row r="944" spans="1:7" x14ac:dyDescent="0.3">
      <c r="A944" s="25">
        <v>44725</v>
      </c>
      <c r="B944" s="13">
        <v>15774.4</v>
      </c>
      <c r="C944" s="13">
        <v>15877.55</v>
      </c>
      <c r="D944" s="13">
        <v>15886.15</v>
      </c>
      <c r="E944" s="13">
        <v>15684</v>
      </c>
      <c r="F944" t="s">
        <v>383</v>
      </c>
      <c r="G944" s="4">
        <v>-2.64E-2</v>
      </c>
    </row>
    <row r="945" spans="1:7" x14ac:dyDescent="0.3">
      <c r="A945" s="25">
        <v>44722</v>
      </c>
      <c r="B945" s="13">
        <v>16201.8</v>
      </c>
      <c r="C945" s="13">
        <v>16283.95</v>
      </c>
      <c r="D945" s="13">
        <v>16324.7</v>
      </c>
      <c r="E945" s="13">
        <v>16172.6</v>
      </c>
      <c r="F945" t="s">
        <v>382</v>
      </c>
      <c r="G945" s="4">
        <v>-1.6799999999999999E-2</v>
      </c>
    </row>
    <row r="946" spans="1:7" x14ac:dyDescent="0.3">
      <c r="A946" s="25">
        <v>44721</v>
      </c>
      <c r="B946" s="13">
        <v>16478.099999999999</v>
      </c>
      <c r="C946" s="13">
        <v>16263.85</v>
      </c>
      <c r="D946" s="13">
        <v>16492.8</v>
      </c>
      <c r="E946" s="13">
        <v>16243.85</v>
      </c>
      <c r="F946" t="s">
        <v>381</v>
      </c>
      <c r="G946" s="4">
        <v>7.4000000000000003E-3</v>
      </c>
    </row>
    <row r="947" spans="1:7" x14ac:dyDescent="0.3">
      <c r="A947" s="25">
        <v>44720</v>
      </c>
      <c r="B947" s="13">
        <v>16356.25</v>
      </c>
      <c r="C947" s="13">
        <v>16474.95</v>
      </c>
      <c r="D947" s="13">
        <v>16514.3</v>
      </c>
      <c r="E947" s="13">
        <v>16293.35</v>
      </c>
      <c r="F947" t="s">
        <v>380</v>
      </c>
      <c r="G947" s="4">
        <v>-3.7000000000000002E-3</v>
      </c>
    </row>
    <row r="948" spans="1:7" x14ac:dyDescent="0.3">
      <c r="A948" s="25">
        <v>44719</v>
      </c>
      <c r="B948" s="13">
        <v>16416.349999999999</v>
      </c>
      <c r="C948" s="13">
        <v>16469.599999999999</v>
      </c>
      <c r="D948" s="13">
        <v>16487.25</v>
      </c>
      <c r="E948" s="13">
        <v>16347.1</v>
      </c>
      <c r="F948" t="s">
        <v>379</v>
      </c>
      <c r="G948" s="4">
        <v>-9.1999999999999998E-3</v>
      </c>
    </row>
    <row r="949" spans="1:7" x14ac:dyDescent="0.3">
      <c r="A949" s="25">
        <v>44718</v>
      </c>
      <c r="B949" s="13">
        <v>16569.55</v>
      </c>
      <c r="C949" s="13">
        <v>16530.7</v>
      </c>
      <c r="D949" s="13">
        <v>16610.95</v>
      </c>
      <c r="E949" s="13">
        <v>16444.55</v>
      </c>
      <c r="F949" t="s">
        <v>378</v>
      </c>
      <c r="G949" s="4">
        <v>-8.9999999999999998E-4</v>
      </c>
    </row>
    <row r="950" spans="1:7" x14ac:dyDescent="0.3">
      <c r="A950" s="25">
        <v>44715</v>
      </c>
      <c r="B950" s="13">
        <v>16584.3</v>
      </c>
      <c r="C950" s="13">
        <v>16761.650000000001</v>
      </c>
      <c r="D950" s="13">
        <v>16793.849999999999</v>
      </c>
      <c r="E950" s="13">
        <v>16567.900000000001</v>
      </c>
      <c r="F950" t="s">
        <v>377</v>
      </c>
      <c r="G950" s="4">
        <v>-2.5999999999999999E-3</v>
      </c>
    </row>
    <row r="951" spans="1:7" x14ac:dyDescent="0.3">
      <c r="A951" s="25">
        <v>44714</v>
      </c>
      <c r="B951" s="13">
        <v>16628</v>
      </c>
      <c r="C951" s="13">
        <v>16481.650000000001</v>
      </c>
      <c r="D951" s="13">
        <v>16646.400000000001</v>
      </c>
      <c r="E951" s="13">
        <v>16443.05</v>
      </c>
      <c r="F951" t="s">
        <v>376</v>
      </c>
      <c r="G951" s="4">
        <v>6.4000000000000003E-3</v>
      </c>
    </row>
    <row r="952" spans="1:7" x14ac:dyDescent="0.3">
      <c r="A952" s="25">
        <v>44713</v>
      </c>
      <c r="B952" s="13">
        <v>16522.75</v>
      </c>
      <c r="C952" s="13">
        <v>16594.400000000001</v>
      </c>
      <c r="D952" s="13">
        <v>16649.2</v>
      </c>
      <c r="E952" s="13">
        <v>16438.849999999999</v>
      </c>
      <c r="F952" t="s">
        <v>375</v>
      </c>
      <c r="G952" s="4">
        <v>-3.7000000000000002E-3</v>
      </c>
    </row>
    <row r="953" spans="1:7" x14ac:dyDescent="0.3">
      <c r="A953" s="25">
        <v>44712</v>
      </c>
      <c r="B953" s="13">
        <v>16584.55</v>
      </c>
      <c r="C953" s="13">
        <v>16578.45</v>
      </c>
      <c r="D953" s="13">
        <v>16690.75</v>
      </c>
      <c r="E953" s="13">
        <v>16521.900000000001</v>
      </c>
      <c r="F953" t="s">
        <v>374</v>
      </c>
      <c r="G953" s="4">
        <v>-4.5999999999999999E-3</v>
      </c>
    </row>
    <row r="954" spans="1:7" x14ac:dyDescent="0.3">
      <c r="A954" s="25">
        <v>44711</v>
      </c>
      <c r="B954" s="13">
        <v>16661.400000000001</v>
      </c>
      <c r="C954" s="13">
        <v>16527.900000000001</v>
      </c>
      <c r="D954" s="13">
        <v>16695.5</v>
      </c>
      <c r="E954" s="13">
        <v>16506.150000000001</v>
      </c>
      <c r="F954" t="s">
        <v>373</v>
      </c>
      <c r="G954" s="4">
        <v>1.89E-2</v>
      </c>
    </row>
    <row r="955" spans="1:7" x14ac:dyDescent="0.3">
      <c r="A955" s="25">
        <v>44708</v>
      </c>
      <c r="B955" s="13">
        <v>16352.45</v>
      </c>
      <c r="C955" s="13">
        <v>16296.6</v>
      </c>
      <c r="D955" s="13">
        <v>16370.6</v>
      </c>
      <c r="E955" s="13">
        <v>16221.95</v>
      </c>
      <c r="F955" t="s">
        <v>372</v>
      </c>
      <c r="G955" s="4">
        <v>1.1299999999999999E-2</v>
      </c>
    </row>
    <row r="956" spans="1:7" x14ac:dyDescent="0.3">
      <c r="A956" s="25">
        <v>44707</v>
      </c>
      <c r="B956" s="13">
        <v>16170.15</v>
      </c>
      <c r="C956" s="13">
        <v>16105</v>
      </c>
      <c r="D956" s="13">
        <v>16204.45</v>
      </c>
      <c r="E956" s="13">
        <v>15903.7</v>
      </c>
      <c r="F956" t="s">
        <v>371</v>
      </c>
      <c r="G956" s="4">
        <v>8.9999999999999993E-3</v>
      </c>
    </row>
    <row r="957" spans="1:7" x14ac:dyDescent="0.3">
      <c r="A957" s="25">
        <v>44706</v>
      </c>
      <c r="B957" s="13">
        <v>16025.8</v>
      </c>
      <c r="C957" s="13">
        <v>16196.35</v>
      </c>
      <c r="D957" s="13">
        <v>16223.35</v>
      </c>
      <c r="E957" s="13">
        <v>16006.95</v>
      </c>
      <c r="F957" t="s">
        <v>370</v>
      </c>
      <c r="G957" s="4">
        <v>-6.1999999999999998E-3</v>
      </c>
    </row>
    <row r="958" spans="1:7" x14ac:dyDescent="0.3">
      <c r="A958" s="25">
        <v>44705</v>
      </c>
      <c r="B958" s="13">
        <v>16125.15</v>
      </c>
      <c r="C958" s="13">
        <v>16225.55</v>
      </c>
      <c r="D958" s="13">
        <v>16262.8</v>
      </c>
      <c r="E958" s="13">
        <v>16078.6</v>
      </c>
      <c r="F958" t="s">
        <v>369</v>
      </c>
      <c r="G958" s="4">
        <v>-5.4999999999999997E-3</v>
      </c>
    </row>
    <row r="959" spans="1:7" x14ac:dyDescent="0.3">
      <c r="A959" s="25">
        <v>44704</v>
      </c>
      <c r="B959" s="13">
        <v>16214.7</v>
      </c>
      <c r="C959" s="13">
        <v>16290.95</v>
      </c>
      <c r="D959" s="13">
        <v>16414.7</v>
      </c>
      <c r="E959" s="13">
        <v>16185.75</v>
      </c>
      <c r="F959" t="s">
        <v>368</v>
      </c>
      <c r="G959" s="4">
        <v>-3.2000000000000002E-3</v>
      </c>
    </row>
    <row r="960" spans="1:7" x14ac:dyDescent="0.3">
      <c r="A960" s="25">
        <v>44701</v>
      </c>
      <c r="B960" s="13">
        <v>16266.15</v>
      </c>
      <c r="C960" s="13">
        <v>16043.8</v>
      </c>
      <c r="D960" s="13">
        <v>16283.05</v>
      </c>
      <c r="E960" s="13">
        <v>16003.85</v>
      </c>
      <c r="F960" t="s">
        <v>367</v>
      </c>
      <c r="G960" s="4">
        <v>2.8899999999999999E-2</v>
      </c>
    </row>
    <row r="961" spans="1:7" x14ac:dyDescent="0.3">
      <c r="A961" s="25">
        <v>44700</v>
      </c>
      <c r="B961" s="13">
        <v>15809.4</v>
      </c>
      <c r="C961" s="13">
        <v>15917.4</v>
      </c>
      <c r="D961" s="13">
        <v>15984.75</v>
      </c>
      <c r="E961" s="13">
        <v>15775.2</v>
      </c>
      <c r="F961" t="s">
        <v>366</v>
      </c>
      <c r="G961" s="4">
        <v>-2.6499999999999999E-2</v>
      </c>
    </row>
    <row r="962" spans="1:7" x14ac:dyDescent="0.3">
      <c r="A962" s="25">
        <v>44699</v>
      </c>
      <c r="B962" s="13">
        <v>16240.3</v>
      </c>
      <c r="C962" s="13">
        <v>16318.15</v>
      </c>
      <c r="D962" s="13">
        <v>16399.8</v>
      </c>
      <c r="E962" s="13">
        <v>16211.2</v>
      </c>
      <c r="F962" t="s">
        <v>365</v>
      </c>
      <c r="G962" s="4">
        <v>-1.1999999999999999E-3</v>
      </c>
    </row>
    <row r="963" spans="1:7" x14ac:dyDescent="0.3">
      <c r="A963" s="25">
        <v>44698</v>
      </c>
      <c r="B963" s="13">
        <v>16259.3</v>
      </c>
      <c r="C963" s="13">
        <v>15912.6</v>
      </c>
      <c r="D963" s="13">
        <v>16284.25</v>
      </c>
      <c r="E963" s="13">
        <v>15900.8</v>
      </c>
      <c r="F963" t="s">
        <v>364</v>
      </c>
      <c r="G963" s="4">
        <v>2.63E-2</v>
      </c>
    </row>
    <row r="964" spans="1:7" x14ac:dyDescent="0.3">
      <c r="A964" s="25">
        <v>44697</v>
      </c>
      <c r="B964" s="13">
        <v>15842.3</v>
      </c>
      <c r="C964" s="13">
        <v>15845.1</v>
      </c>
      <c r="D964" s="13">
        <v>15977.95</v>
      </c>
      <c r="E964" s="13">
        <v>15739.65</v>
      </c>
      <c r="F964" t="s">
        <v>363</v>
      </c>
      <c r="G964" s="4">
        <v>3.8E-3</v>
      </c>
    </row>
    <row r="965" spans="1:7" x14ac:dyDescent="0.3">
      <c r="A965" s="25">
        <v>44694</v>
      </c>
      <c r="B965" s="13">
        <v>15782.15</v>
      </c>
      <c r="C965" s="13">
        <v>15977</v>
      </c>
      <c r="D965" s="13">
        <v>16083.6</v>
      </c>
      <c r="E965" s="13">
        <v>15740.85</v>
      </c>
      <c r="F965" t="s">
        <v>362</v>
      </c>
      <c r="G965" s="4">
        <v>-1.6000000000000001E-3</v>
      </c>
    </row>
    <row r="966" spans="1:7" x14ac:dyDescent="0.3">
      <c r="A966" s="25">
        <v>44693</v>
      </c>
      <c r="B966" s="13">
        <v>15808</v>
      </c>
      <c r="C966" s="13">
        <v>16021.1</v>
      </c>
      <c r="D966" s="13">
        <v>16041.95</v>
      </c>
      <c r="E966" s="13">
        <v>15735.75</v>
      </c>
      <c r="F966" t="s">
        <v>361</v>
      </c>
      <c r="G966" s="4">
        <v>-2.2200000000000001E-2</v>
      </c>
    </row>
    <row r="967" spans="1:7" x14ac:dyDescent="0.3">
      <c r="A967" s="25">
        <v>44692</v>
      </c>
      <c r="B967" s="13">
        <v>16167.1</v>
      </c>
      <c r="C967" s="13">
        <v>16270.05</v>
      </c>
      <c r="D967" s="13">
        <v>16318.75</v>
      </c>
      <c r="E967" s="13">
        <v>15992.6</v>
      </c>
      <c r="F967" t="s">
        <v>360</v>
      </c>
      <c r="G967" s="4">
        <v>-4.4999999999999997E-3</v>
      </c>
    </row>
    <row r="968" spans="1:7" x14ac:dyDescent="0.3">
      <c r="A968" s="25">
        <v>44691</v>
      </c>
      <c r="B968" s="13">
        <v>16240.05</v>
      </c>
      <c r="C968" s="13">
        <v>16248.9</v>
      </c>
      <c r="D968" s="13">
        <v>16404.55</v>
      </c>
      <c r="E968" s="13">
        <v>16197.3</v>
      </c>
      <c r="F968" t="s">
        <v>359</v>
      </c>
      <c r="G968" s="4">
        <v>-3.8E-3</v>
      </c>
    </row>
    <row r="969" spans="1:7" x14ac:dyDescent="0.3">
      <c r="A969" s="25">
        <v>44690</v>
      </c>
      <c r="B969" s="13">
        <v>16301.85</v>
      </c>
      <c r="C969" s="13">
        <v>16227.7</v>
      </c>
      <c r="D969" s="13">
        <v>16403.7</v>
      </c>
      <c r="E969" s="13">
        <v>16142.1</v>
      </c>
      <c r="F969" t="s">
        <v>358</v>
      </c>
      <c r="G969" s="4">
        <v>-6.7000000000000002E-3</v>
      </c>
    </row>
    <row r="970" spans="1:7" x14ac:dyDescent="0.3">
      <c r="A970" s="25">
        <v>44687</v>
      </c>
      <c r="B970" s="13">
        <v>16411.25</v>
      </c>
      <c r="C970" s="13">
        <v>16415.55</v>
      </c>
      <c r="D970" s="13">
        <v>16484.2</v>
      </c>
      <c r="E970" s="13">
        <v>16340.9</v>
      </c>
      <c r="F970" t="s">
        <v>357</v>
      </c>
      <c r="G970" s="4">
        <v>-1.6299999999999999E-2</v>
      </c>
    </row>
    <row r="971" spans="1:7" x14ac:dyDescent="0.3">
      <c r="A971" s="25">
        <v>44686</v>
      </c>
      <c r="B971" s="13">
        <v>16682.650000000001</v>
      </c>
      <c r="C971" s="13">
        <v>16854.75</v>
      </c>
      <c r="D971" s="13">
        <v>16945.7</v>
      </c>
      <c r="E971" s="13">
        <v>16651.849999999999</v>
      </c>
      <c r="F971" t="s">
        <v>356</v>
      </c>
      <c r="G971" s="4">
        <v>2.9999999999999997E-4</v>
      </c>
    </row>
    <row r="972" spans="1:7" x14ac:dyDescent="0.3">
      <c r="A972" s="25">
        <v>44685</v>
      </c>
      <c r="B972" s="13">
        <v>16677.599999999999</v>
      </c>
      <c r="C972" s="13">
        <v>17096.599999999999</v>
      </c>
      <c r="D972" s="13">
        <v>17132.849999999999</v>
      </c>
      <c r="E972" s="13">
        <v>16623.95</v>
      </c>
      <c r="F972" t="s">
        <v>355</v>
      </c>
      <c r="G972" s="4">
        <v>-2.29E-2</v>
      </c>
    </row>
    <row r="973" spans="1:7" x14ac:dyDescent="0.3">
      <c r="A973" s="25">
        <v>44683</v>
      </c>
      <c r="B973" s="13">
        <v>17069.099999999999</v>
      </c>
      <c r="C973" s="13">
        <v>16924.45</v>
      </c>
      <c r="D973" s="13">
        <v>17092.25</v>
      </c>
      <c r="E973" s="13">
        <v>16917.25</v>
      </c>
      <c r="F973" t="s">
        <v>354</v>
      </c>
      <c r="G973" s="4">
        <v>-2E-3</v>
      </c>
    </row>
    <row r="974" spans="1:7" x14ac:dyDescent="0.3">
      <c r="A974" s="25">
        <v>44680</v>
      </c>
      <c r="B974" s="13">
        <v>17102.55</v>
      </c>
      <c r="C974" s="13">
        <v>17329.25</v>
      </c>
      <c r="D974" s="13">
        <v>17377.650000000001</v>
      </c>
      <c r="E974" s="13">
        <v>17053.25</v>
      </c>
      <c r="F974" t="s">
        <v>353</v>
      </c>
      <c r="G974" s="4">
        <v>-8.3000000000000001E-3</v>
      </c>
    </row>
    <row r="975" spans="1:7" x14ac:dyDescent="0.3">
      <c r="A975" s="25">
        <v>44679</v>
      </c>
      <c r="B975" s="13">
        <v>17245.05</v>
      </c>
      <c r="C975" s="13">
        <v>17189.5</v>
      </c>
      <c r="D975" s="13">
        <v>17322.5</v>
      </c>
      <c r="E975" s="13">
        <v>17071.05</v>
      </c>
      <c r="F975" t="s">
        <v>352</v>
      </c>
      <c r="G975" s="4">
        <v>1.21E-2</v>
      </c>
    </row>
    <row r="976" spans="1:7" x14ac:dyDescent="0.3">
      <c r="A976" s="25">
        <v>44678</v>
      </c>
      <c r="B976" s="13">
        <v>17038.400000000001</v>
      </c>
      <c r="C976" s="13">
        <v>17073.349999999999</v>
      </c>
      <c r="D976" s="13">
        <v>17110.7</v>
      </c>
      <c r="E976" s="13">
        <v>16958.45</v>
      </c>
      <c r="F976" t="s">
        <v>351</v>
      </c>
      <c r="G976" s="4">
        <v>-9.4000000000000004E-3</v>
      </c>
    </row>
    <row r="977" spans="1:7" x14ac:dyDescent="0.3">
      <c r="A977" s="25">
        <v>44677</v>
      </c>
      <c r="B977" s="13">
        <v>17200.8</v>
      </c>
      <c r="C977" s="13">
        <v>17121.3</v>
      </c>
      <c r="D977" s="13">
        <v>17223.849999999999</v>
      </c>
      <c r="E977" s="13">
        <v>17064.45</v>
      </c>
      <c r="F977" t="s">
        <v>350</v>
      </c>
      <c r="G977" s="4">
        <v>1.46E-2</v>
      </c>
    </row>
    <row r="978" spans="1:7" x14ac:dyDescent="0.3">
      <c r="A978" s="25">
        <v>44676</v>
      </c>
      <c r="B978" s="13">
        <v>16953.95</v>
      </c>
      <c r="C978" s="13">
        <v>17009.05</v>
      </c>
      <c r="D978" s="13">
        <v>17054.3</v>
      </c>
      <c r="E978" s="13">
        <v>16888.7</v>
      </c>
      <c r="F978" t="s">
        <v>349</v>
      </c>
      <c r="G978" s="4">
        <v>-1.2699999999999999E-2</v>
      </c>
    </row>
    <row r="979" spans="1:7" x14ac:dyDescent="0.3">
      <c r="A979" s="25">
        <v>44673</v>
      </c>
      <c r="B979" s="13">
        <v>17171.95</v>
      </c>
      <c r="C979" s="13">
        <v>17242.75</v>
      </c>
      <c r="D979" s="13">
        <v>17315.3</v>
      </c>
      <c r="E979" s="13">
        <v>17149.2</v>
      </c>
      <c r="F979" t="s">
        <v>348</v>
      </c>
      <c r="G979" s="4">
        <v>-1.2699999999999999E-2</v>
      </c>
    </row>
    <row r="980" spans="1:7" x14ac:dyDescent="0.3">
      <c r="A980" s="25">
        <v>44672</v>
      </c>
      <c r="B980" s="13">
        <v>17392.599999999999</v>
      </c>
      <c r="C980" s="13">
        <v>17234.599999999999</v>
      </c>
      <c r="D980" s="13">
        <v>17414.7</v>
      </c>
      <c r="E980" s="13">
        <v>17215.5</v>
      </c>
      <c r="F980" t="s">
        <v>347</v>
      </c>
      <c r="G980" s="4">
        <v>1.49E-2</v>
      </c>
    </row>
    <row r="981" spans="1:7" x14ac:dyDescent="0.3">
      <c r="A981" s="25">
        <v>44671</v>
      </c>
      <c r="B981" s="13">
        <v>17136.55</v>
      </c>
      <c r="C981" s="13">
        <v>17045.25</v>
      </c>
      <c r="D981" s="13">
        <v>17186.900000000001</v>
      </c>
      <c r="E981" s="13">
        <v>16978.95</v>
      </c>
      <c r="F981" t="s">
        <v>346</v>
      </c>
      <c r="G981" s="4">
        <v>1.0500000000000001E-2</v>
      </c>
    </row>
    <row r="982" spans="1:7" x14ac:dyDescent="0.3">
      <c r="A982" s="25">
        <v>44670</v>
      </c>
      <c r="B982" s="13">
        <v>16958.650000000001</v>
      </c>
      <c r="C982" s="13">
        <v>17258.95</v>
      </c>
      <c r="D982" s="13">
        <v>17275.650000000001</v>
      </c>
      <c r="E982" s="13">
        <v>16824.7</v>
      </c>
      <c r="F982" t="s">
        <v>345</v>
      </c>
      <c r="G982" s="4">
        <v>-1.2500000000000001E-2</v>
      </c>
    </row>
    <row r="983" spans="1:7" x14ac:dyDescent="0.3">
      <c r="A983" s="25">
        <v>44669</v>
      </c>
      <c r="B983" s="13">
        <v>17173.650000000001</v>
      </c>
      <c r="C983" s="13">
        <v>17183.45</v>
      </c>
      <c r="D983" s="13">
        <v>17237.75</v>
      </c>
      <c r="E983" s="13">
        <v>17067.849999999999</v>
      </c>
      <c r="F983" t="s">
        <v>344</v>
      </c>
      <c r="G983" s="4">
        <v>-1.7299999999999999E-2</v>
      </c>
    </row>
    <row r="984" spans="1:7" x14ac:dyDescent="0.3">
      <c r="A984" s="25">
        <v>44664</v>
      </c>
      <c r="B984" s="13">
        <v>17475.650000000001</v>
      </c>
      <c r="C984" s="13">
        <v>17599.900000000001</v>
      </c>
      <c r="D984" s="13">
        <v>17663.650000000001</v>
      </c>
      <c r="E984" s="13">
        <v>17457.400000000001</v>
      </c>
      <c r="F984" t="s">
        <v>343</v>
      </c>
      <c r="G984" s="4">
        <v>-3.0999999999999999E-3</v>
      </c>
    </row>
    <row r="985" spans="1:7" x14ac:dyDescent="0.3">
      <c r="A985" s="25">
        <v>44663</v>
      </c>
      <c r="B985" s="13">
        <v>17530.3</v>
      </c>
      <c r="C985" s="13">
        <v>17584.849999999999</v>
      </c>
      <c r="D985" s="13">
        <v>17595.3</v>
      </c>
      <c r="E985" s="13">
        <v>17442.349999999999</v>
      </c>
      <c r="F985" t="s">
        <v>342</v>
      </c>
      <c r="G985" s="4">
        <v>-8.2000000000000007E-3</v>
      </c>
    </row>
    <row r="986" spans="1:7" x14ac:dyDescent="0.3">
      <c r="A986" s="25">
        <v>44662</v>
      </c>
      <c r="B986" s="13">
        <v>17674.95</v>
      </c>
      <c r="C986" s="13">
        <v>17740.900000000001</v>
      </c>
      <c r="D986" s="13">
        <v>17779.05</v>
      </c>
      <c r="E986" s="13">
        <v>17650.95</v>
      </c>
      <c r="F986" t="s">
        <v>341</v>
      </c>
      <c r="G986" s="4">
        <v>-6.1999999999999998E-3</v>
      </c>
    </row>
    <row r="987" spans="1:7" x14ac:dyDescent="0.3">
      <c r="A987" s="25">
        <v>44659</v>
      </c>
      <c r="B987" s="13">
        <v>17784.349999999999</v>
      </c>
      <c r="C987" s="13">
        <v>17698.150000000001</v>
      </c>
      <c r="D987" s="13">
        <v>17842.75</v>
      </c>
      <c r="E987" s="13">
        <v>17600.55</v>
      </c>
      <c r="F987" t="s">
        <v>340</v>
      </c>
      <c r="G987" s="4">
        <v>8.2000000000000007E-3</v>
      </c>
    </row>
    <row r="988" spans="1:7" x14ac:dyDescent="0.3">
      <c r="A988" s="25">
        <v>44658</v>
      </c>
      <c r="B988" s="13">
        <v>17639.55</v>
      </c>
      <c r="C988" s="13">
        <v>17723.3</v>
      </c>
      <c r="D988" s="13">
        <v>17787.5</v>
      </c>
      <c r="E988" s="13">
        <v>17623.7</v>
      </c>
      <c r="F988" t="s">
        <v>246</v>
      </c>
      <c r="G988" s="4">
        <v>-9.4000000000000004E-3</v>
      </c>
    </row>
    <row r="989" spans="1:7" x14ac:dyDescent="0.3">
      <c r="A989" s="25">
        <v>44657</v>
      </c>
      <c r="B989" s="13">
        <v>17807.650000000001</v>
      </c>
      <c r="C989" s="13">
        <v>17842.75</v>
      </c>
      <c r="D989" s="13">
        <v>17901</v>
      </c>
      <c r="E989" s="13">
        <v>17779.849999999999</v>
      </c>
      <c r="F989" t="s">
        <v>339</v>
      </c>
      <c r="G989" s="4">
        <v>-8.3000000000000001E-3</v>
      </c>
    </row>
    <row r="990" spans="1:7" x14ac:dyDescent="0.3">
      <c r="A990" s="25">
        <v>44656</v>
      </c>
      <c r="B990" s="13">
        <v>17957.400000000001</v>
      </c>
      <c r="C990" s="13">
        <v>18080.599999999999</v>
      </c>
      <c r="D990" s="13">
        <v>18095.45</v>
      </c>
      <c r="E990" s="13">
        <v>17921.55</v>
      </c>
      <c r="F990" t="s">
        <v>338</v>
      </c>
      <c r="G990" s="4">
        <v>-5.3E-3</v>
      </c>
    </row>
    <row r="991" spans="1:7" x14ac:dyDescent="0.3">
      <c r="A991" s="25">
        <v>44655</v>
      </c>
      <c r="B991" s="13">
        <v>18053.400000000001</v>
      </c>
      <c r="C991" s="13">
        <v>17809.099999999999</v>
      </c>
      <c r="D991" s="13">
        <v>18114.650000000001</v>
      </c>
      <c r="E991" s="13">
        <v>17791.400000000001</v>
      </c>
      <c r="F991" t="s">
        <v>337</v>
      </c>
      <c r="G991" s="4">
        <v>2.1700000000000001E-2</v>
      </c>
    </row>
    <row r="992" spans="1:7" x14ac:dyDescent="0.3">
      <c r="A992" s="25">
        <v>44652</v>
      </c>
      <c r="B992" s="13">
        <v>17670.45</v>
      </c>
      <c r="C992" s="13">
        <v>17436.900000000001</v>
      </c>
      <c r="D992" s="13">
        <v>17703.7</v>
      </c>
      <c r="E992" s="13">
        <v>17422.7</v>
      </c>
      <c r="F992" t="s">
        <v>336</v>
      </c>
      <c r="G992" s="4">
        <v>1.18E-2</v>
      </c>
    </row>
    <row r="993" spans="1:7" x14ac:dyDescent="0.3">
      <c r="A993" s="25">
        <v>44651</v>
      </c>
      <c r="B993" s="13">
        <v>17464.75</v>
      </c>
      <c r="C993" s="13">
        <v>17519.2</v>
      </c>
      <c r="D993" s="13">
        <v>17559.8</v>
      </c>
      <c r="E993" s="13">
        <v>17435.2</v>
      </c>
      <c r="F993" t="s">
        <v>335</v>
      </c>
      <c r="G993" s="4">
        <v>-1.9E-3</v>
      </c>
    </row>
    <row r="994" spans="1:7" x14ac:dyDescent="0.3">
      <c r="A994" s="25">
        <v>44650</v>
      </c>
      <c r="B994" s="13">
        <v>17498.25</v>
      </c>
      <c r="C994" s="13">
        <v>17468.150000000001</v>
      </c>
      <c r="D994" s="13">
        <v>17522.5</v>
      </c>
      <c r="E994" s="13">
        <v>17387.2</v>
      </c>
      <c r="F994" t="s">
        <v>334</v>
      </c>
      <c r="G994" s="4">
        <v>0.01</v>
      </c>
    </row>
    <row r="995" spans="1:7" x14ac:dyDescent="0.3">
      <c r="A995" s="25">
        <v>44649</v>
      </c>
      <c r="B995" s="13">
        <v>17325.3</v>
      </c>
      <c r="C995" s="13">
        <v>17297.2</v>
      </c>
      <c r="D995" s="13">
        <v>17343.650000000001</v>
      </c>
      <c r="E995" s="13">
        <v>17235.7</v>
      </c>
      <c r="F995" t="s">
        <v>333</v>
      </c>
      <c r="G995" s="4">
        <v>6.0000000000000001E-3</v>
      </c>
    </row>
    <row r="996" spans="1:7" x14ac:dyDescent="0.3">
      <c r="A996" s="25">
        <v>44648</v>
      </c>
      <c r="B996" s="13">
        <v>17222</v>
      </c>
      <c r="C996" s="13">
        <v>17181.849999999999</v>
      </c>
      <c r="D996" s="13">
        <v>17235.099999999999</v>
      </c>
      <c r="E996" s="13">
        <v>17003.900000000001</v>
      </c>
      <c r="F996" t="s">
        <v>332</v>
      </c>
      <c r="G996" s="4">
        <v>4.0000000000000001E-3</v>
      </c>
    </row>
    <row r="997" spans="1:7" x14ac:dyDescent="0.3">
      <c r="A997" s="25">
        <v>44645</v>
      </c>
      <c r="B997" s="13">
        <v>17153</v>
      </c>
      <c r="C997" s="13">
        <v>17289</v>
      </c>
      <c r="D997" s="13">
        <v>17294.900000000001</v>
      </c>
      <c r="E997" s="13">
        <v>17076.55</v>
      </c>
      <c r="F997" t="s">
        <v>331</v>
      </c>
      <c r="G997" s="4">
        <v>-4.0000000000000001E-3</v>
      </c>
    </row>
    <row r="998" spans="1:7" x14ac:dyDescent="0.3">
      <c r="A998" s="25">
        <v>44644</v>
      </c>
      <c r="B998" s="13">
        <v>17222.75</v>
      </c>
      <c r="C998" s="13">
        <v>17094.95</v>
      </c>
      <c r="D998" s="13">
        <v>17291.75</v>
      </c>
      <c r="E998" s="13">
        <v>17091.150000000001</v>
      </c>
      <c r="F998" t="s">
        <v>330</v>
      </c>
      <c r="G998" s="4">
        <v>-1.2999999999999999E-3</v>
      </c>
    </row>
    <row r="999" spans="1:7" x14ac:dyDescent="0.3">
      <c r="A999" s="25">
        <v>44643</v>
      </c>
      <c r="B999" s="13">
        <v>17245.650000000001</v>
      </c>
      <c r="C999" s="13">
        <v>17405.05</v>
      </c>
      <c r="D999" s="13">
        <v>17442.400000000001</v>
      </c>
      <c r="E999" s="13">
        <v>17199.599999999999</v>
      </c>
      <c r="F999" t="s">
        <v>329</v>
      </c>
      <c r="G999" s="4">
        <v>-4.0000000000000001E-3</v>
      </c>
    </row>
    <row r="1000" spans="1:7" x14ac:dyDescent="0.3">
      <c r="A1000" s="25">
        <v>44642</v>
      </c>
      <c r="B1000" s="13">
        <v>17315.5</v>
      </c>
      <c r="C1000" s="13">
        <v>17120.400000000001</v>
      </c>
      <c r="D1000" s="13">
        <v>17334.400000000001</v>
      </c>
      <c r="E1000" s="13">
        <v>17006.3</v>
      </c>
      <c r="F1000" t="s">
        <v>328</v>
      </c>
      <c r="G1000" s="4">
        <v>1.1599999999999999E-2</v>
      </c>
    </row>
    <row r="1001" spans="1:7" x14ac:dyDescent="0.3">
      <c r="A1001" s="25">
        <v>44641</v>
      </c>
      <c r="B1001" s="13">
        <v>17117.599999999999</v>
      </c>
      <c r="C1001" s="13">
        <v>17329.5</v>
      </c>
      <c r="D1001" s="13">
        <v>17353.349999999999</v>
      </c>
      <c r="E1001" s="13">
        <v>17096.400000000001</v>
      </c>
      <c r="F1001" t="s">
        <v>327</v>
      </c>
      <c r="G1001" s="4">
        <v>-9.7999999999999997E-3</v>
      </c>
    </row>
    <row r="1002" spans="1:7" x14ac:dyDescent="0.3">
      <c r="A1002" s="25">
        <v>44637</v>
      </c>
      <c r="B1002" s="13">
        <v>17287.05</v>
      </c>
      <c r="C1002" s="13">
        <v>17202.900000000001</v>
      </c>
      <c r="D1002" s="13">
        <v>17344.599999999999</v>
      </c>
      <c r="E1002" s="13">
        <v>17175.75</v>
      </c>
      <c r="F1002" t="s">
        <v>326</v>
      </c>
      <c r="G1002" s="4">
        <v>1.84E-2</v>
      </c>
    </row>
    <row r="1003" spans="1:7" x14ac:dyDescent="0.3">
      <c r="A1003" s="25">
        <v>44636</v>
      </c>
      <c r="B1003" s="13">
        <v>16975.349999999999</v>
      </c>
      <c r="C1003" s="13">
        <v>16876.650000000001</v>
      </c>
      <c r="D1003" s="13">
        <v>16987.900000000001</v>
      </c>
      <c r="E1003" s="13">
        <v>16837.849999999999</v>
      </c>
      <c r="F1003" t="s">
        <v>325</v>
      </c>
      <c r="G1003" s="4">
        <v>1.8700000000000001E-2</v>
      </c>
    </row>
    <row r="1004" spans="1:7" x14ac:dyDescent="0.3">
      <c r="A1004" s="25">
        <v>44635</v>
      </c>
      <c r="B1004" s="13">
        <v>16663</v>
      </c>
      <c r="C1004" s="13">
        <v>16900.650000000001</v>
      </c>
      <c r="D1004" s="13">
        <v>16927.75</v>
      </c>
      <c r="E1004" s="13">
        <v>16555</v>
      </c>
      <c r="F1004" t="s">
        <v>324</v>
      </c>
      <c r="G1004" s="4">
        <v>-1.23E-2</v>
      </c>
    </row>
    <row r="1005" spans="1:7" x14ac:dyDescent="0.3">
      <c r="A1005" s="25">
        <v>44634</v>
      </c>
      <c r="B1005" s="13">
        <v>16871.3</v>
      </c>
      <c r="C1005" s="13">
        <v>16633.7</v>
      </c>
      <c r="D1005" s="13">
        <v>16887.95</v>
      </c>
      <c r="E1005" s="13">
        <v>16606.5</v>
      </c>
      <c r="F1005" t="s">
        <v>323</v>
      </c>
      <c r="G1005" s="4">
        <v>1.4500000000000001E-2</v>
      </c>
    </row>
    <row r="1006" spans="1:7" x14ac:dyDescent="0.3">
      <c r="A1006" s="25">
        <v>44631</v>
      </c>
      <c r="B1006" s="13">
        <v>16630.45</v>
      </c>
      <c r="C1006" s="13">
        <v>16528.8</v>
      </c>
      <c r="D1006" s="13">
        <v>16694.400000000001</v>
      </c>
      <c r="E1006" s="13">
        <v>16470.900000000001</v>
      </c>
      <c r="F1006" t="s">
        <v>322</v>
      </c>
      <c r="G1006" s="4">
        <v>2.0999999999999999E-3</v>
      </c>
    </row>
    <row r="1007" spans="1:7" x14ac:dyDescent="0.3">
      <c r="A1007" s="25">
        <v>44630</v>
      </c>
      <c r="B1007" s="13">
        <v>16594.900000000001</v>
      </c>
      <c r="C1007" s="13">
        <v>16757.099999999999</v>
      </c>
      <c r="D1007" s="13">
        <v>16757.3</v>
      </c>
      <c r="E1007" s="13">
        <v>16447.900000000001</v>
      </c>
      <c r="F1007" t="s">
        <v>321</v>
      </c>
      <c r="G1007" s="4">
        <v>1.5299999999999999E-2</v>
      </c>
    </row>
    <row r="1008" spans="1:7" x14ac:dyDescent="0.3">
      <c r="A1008" s="25">
        <v>44629</v>
      </c>
      <c r="B1008" s="13">
        <v>16345.35</v>
      </c>
      <c r="C1008" s="13">
        <v>16078</v>
      </c>
      <c r="D1008" s="13">
        <v>16418.05</v>
      </c>
      <c r="E1008" s="13">
        <v>15990</v>
      </c>
      <c r="F1008" t="s">
        <v>320</v>
      </c>
      <c r="G1008" s="4">
        <v>2.07E-2</v>
      </c>
    </row>
    <row r="1009" spans="1:7" x14ac:dyDescent="0.3">
      <c r="A1009" s="25">
        <v>44628</v>
      </c>
      <c r="B1009" s="13">
        <v>16013.45</v>
      </c>
      <c r="C1009" s="13">
        <v>15747.75</v>
      </c>
      <c r="D1009" s="13">
        <v>16028.75</v>
      </c>
      <c r="E1009" s="13">
        <v>15671.45</v>
      </c>
      <c r="F1009" t="s">
        <v>319</v>
      </c>
      <c r="G1009" s="4">
        <v>9.4999999999999998E-3</v>
      </c>
    </row>
    <row r="1010" spans="1:7" x14ac:dyDescent="0.3">
      <c r="A1010" s="25">
        <v>44627</v>
      </c>
      <c r="B1010" s="13">
        <v>15863.15</v>
      </c>
      <c r="C1010" s="13">
        <v>15867.95</v>
      </c>
      <c r="D1010" s="13">
        <v>15944.6</v>
      </c>
      <c r="E1010" s="13">
        <v>15711.45</v>
      </c>
      <c r="F1010" t="s">
        <v>318</v>
      </c>
      <c r="G1010" s="4">
        <v>-2.35E-2</v>
      </c>
    </row>
    <row r="1011" spans="1:7" x14ac:dyDescent="0.3">
      <c r="A1011" s="25">
        <v>44624</v>
      </c>
      <c r="B1011" s="13">
        <v>16245.35</v>
      </c>
      <c r="C1011" s="13">
        <v>16339.45</v>
      </c>
      <c r="D1011" s="13">
        <v>16456</v>
      </c>
      <c r="E1011" s="13">
        <v>16133.8</v>
      </c>
      <c r="F1011" t="s">
        <v>317</v>
      </c>
      <c r="G1011" s="4">
        <v>-1.5299999999999999E-2</v>
      </c>
    </row>
    <row r="1012" spans="1:7" x14ac:dyDescent="0.3">
      <c r="A1012" s="25">
        <v>44623</v>
      </c>
      <c r="B1012" s="13">
        <v>16498.05</v>
      </c>
      <c r="C1012" s="13">
        <v>16723.2</v>
      </c>
      <c r="D1012" s="13">
        <v>16768.95</v>
      </c>
      <c r="E1012" s="13">
        <v>16442.95</v>
      </c>
      <c r="F1012" t="s">
        <v>316</v>
      </c>
      <c r="G1012" s="4">
        <v>-6.4999999999999997E-3</v>
      </c>
    </row>
    <row r="1013" spans="1:7" x14ac:dyDescent="0.3">
      <c r="A1013" s="25">
        <v>44622</v>
      </c>
      <c r="B1013" s="13">
        <v>16605.95</v>
      </c>
      <c r="C1013" s="13">
        <v>16593.099999999999</v>
      </c>
      <c r="D1013" s="13">
        <v>16678.5</v>
      </c>
      <c r="E1013" s="13">
        <v>16478.650000000001</v>
      </c>
      <c r="F1013" t="s">
        <v>315</v>
      </c>
      <c r="G1013" s="4">
        <v>-1.12E-2</v>
      </c>
    </row>
    <row r="1014" spans="1:7" x14ac:dyDescent="0.3">
      <c r="A1014" s="25">
        <v>44620</v>
      </c>
      <c r="B1014" s="13">
        <v>16793.900000000001</v>
      </c>
      <c r="C1014" s="13">
        <v>16481.599999999999</v>
      </c>
      <c r="D1014" s="13">
        <v>16815.900000000001</v>
      </c>
      <c r="E1014" s="13">
        <v>16356.3</v>
      </c>
      <c r="F1014" t="s">
        <v>314</v>
      </c>
      <c r="G1014" s="4">
        <v>8.0999999999999996E-3</v>
      </c>
    </row>
    <row r="1015" spans="1:7" x14ac:dyDescent="0.3">
      <c r="A1015" s="25">
        <v>44617</v>
      </c>
      <c r="B1015" s="13">
        <v>16658.400000000001</v>
      </c>
      <c r="C1015" s="13">
        <v>16515.650000000001</v>
      </c>
      <c r="D1015" s="13">
        <v>16748.8</v>
      </c>
      <c r="E1015" s="13">
        <v>16478.3</v>
      </c>
      <c r="F1015" t="s">
        <v>313</v>
      </c>
      <c r="G1015" s="4">
        <v>2.53E-2</v>
      </c>
    </row>
    <row r="1016" spans="1:7" x14ac:dyDescent="0.3">
      <c r="A1016" s="25">
        <v>44616</v>
      </c>
      <c r="B1016" s="13">
        <v>16247.95</v>
      </c>
      <c r="C1016" s="13">
        <v>16548.900000000001</v>
      </c>
      <c r="D1016" s="13">
        <v>16705.25</v>
      </c>
      <c r="E1016" s="13">
        <v>16203.25</v>
      </c>
      <c r="F1016" t="s">
        <v>312</v>
      </c>
      <c r="G1016" s="4">
        <v>-4.7800000000000002E-2</v>
      </c>
    </row>
    <row r="1017" spans="1:7" x14ac:dyDescent="0.3">
      <c r="A1017" s="25">
        <v>44615</v>
      </c>
      <c r="B1017" s="13">
        <v>17063.25</v>
      </c>
      <c r="C1017" s="13">
        <v>17194.5</v>
      </c>
      <c r="D1017" s="13">
        <v>17220.7</v>
      </c>
      <c r="E1017" s="13">
        <v>17027.849999999999</v>
      </c>
      <c r="F1017" t="s">
        <v>311</v>
      </c>
      <c r="G1017" s="4">
        <v>-1.6999999999999999E-3</v>
      </c>
    </row>
    <row r="1018" spans="1:7" x14ac:dyDescent="0.3">
      <c r="A1018" s="25">
        <v>44614</v>
      </c>
      <c r="B1018" s="13">
        <v>17092.2</v>
      </c>
      <c r="C1018" s="13">
        <v>16847.95</v>
      </c>
      <c r="D1018" s="13">
        <v>17148.55</v>
      </c>
      <c r="E1018" s="13">
        <v>16843.8</v>
      </c>
      <c r="F1018" t="s">
        <v>310</v>
      </c>
      <c r="G1018" s="4">
        <v>-6.7000000000000002E-3</v>
      </c>
    </row>
    <row r="1019" spans="1:7" x14ac:dyDescent="0.3">
      <c r="A1019" s="25">
        <v>44613</v>
      </c>
      <c r="B1019" s="13">
        <v>17206.650000000001</v>
      </c>
      <c r="C1019" s="13">
        <v>17192.25</v>
      </c>
      <c r="D1019" s="13">
        <v>17351.05</v>
      </c>
      <c r="E1019" s="13">
        <v>17070.7</v>
      </c>
      <c r="F1019" t="s">
        <v>309</v>
      </c>
      <c r="G1019" s="4">
        <v>-4.0000000000000001E-3</v>
      </c>
    </row>
    <row r="1020" spans="1:7" x14ac:dyDescent="0.3">
      <c r="A1020" s="25">
        <v>44610</v>
      </c>
      <c r="B1020" s="13">
        <v>17276.3</v>
      </c>
      <c r="C1020" s="13">
        <v>17236.05</v>
      </c>
      <c r="D1020" s="13">
        <v>17380.8</v>
      </c>
      <c r="E1020" s="13">
        <v>17219.2</v>
      </c>
      <c r="F1020" t="s">
        <v>308</v>
      </c>
      <c r="G1020" s="4">
        <v>-1.6000000000000001E-3</v>
      </c>
    </row>
    <row r="1021" spans="1:7" x14ac:dyDescent="0.3">
      <c r="A1021" s="25">
        <v>44609</v>
      </c>
      <c r="B1021" s="13">
        <v>17304.599999999999</v>
      </c>
      <c r="C1021" s="13">
        <v>17396.55</v>
      </c>
      <c r="D1021" s="13">
        <v>17442.900000000001</v>
      </c>
      <c r="E1021" s="13">
        <v>17235.849999999999</v>
      </c>
      <c r="F1021" t="s">
        <v>307</v>
      </c>
      <c r="G1021" s="4">
        <v>-1E-3</v>
      </c>
    </row>
    <row r="1022" spans="1:7" x14ac:dyDescent="0.3">
      <c r="A1022" s="25">
        <v>44608</v>
      </c>
      <c r="B1022" s="13">
        <v>17322.2</v>
      </c>
      <c r="C1022" s="13">
        <v>17408.45</v>
      </c>
      <c r="D1022" s="13">
        <v>17490.599999999999</v>
      </c>
      <c r="E1022" s="13">
        <v>17257.7</v>
      </c>
      <c r="F1022" t="s">
        <v>306</v>
      </c>
      <c r="G1022" s="4">
        <v>-1.6999999999999999E-3</v>
      </c>
    </row>
    <row r="1023" spans="1:7" x14ac:dyDescent="0.3">
      <c r="A1023" s="25">
        <v>44607</v>
      </c>
      <c r="B1023" s="13">
        <v>17352.45</v>
      </c>
      <c r="C1023" s="13">
        <v>16933.25</v>
      </c>
      <c r="D1023" s="13">
        <v>17375</v>
      </c>
      <c r="E1023" s="13">
        <v>16839.25</v>
      </c>
      <c r="F1023" t="s">
        <v>305</v>
      </c>
      <c r="G1023" s="4">
        <v>3.0300000000000001E-2</v>
      </c>
    </row>
    <row r="1024" spans="1:7" x14ac:dyDescent="0.3">
      <c r="A1024" s="25">
        <v>44606</v>
      </c>
      <c r="B1024" s="13">
        <v>16842.8</v>
      </c>
      <c r="C1024" s="13">
        <v>17076.150000000001</v>
      </c>
      <c r="D1024" s="13">
        <v>17099.5</v>
      </c>
      <c r="E1024" s="13">
        <v>16809.650000000001</v>
      </c>
      <c r="F1024" t="s">
        <v>304</v>
      </c>
      <c r="G1024" s="4">
        <v>-3.0599999999999999E-2</v>
      </c>
    </row>
    <row r="1025" spans="1:7" x14ac:dyDescent="0.3">
      <c r="A1025" s="25">
        <v>44603</v>
      </c>
      <c r="B1025" s="13">
        <v>17374.75</v>
      </c>
      <c r="C1025" s="13">
        <v>17451</v>
      </c>
      <c r="D1025" s="13">
        <v>17454.75</v>
      </c>
      <c r="E1025" s="13">
        <v>17303</v>
      </c>
      <c r="F1025" t="s">
        <v>303</v>
      </c>
      <c r="G1025" s="4">
        <v>-1.3100000000000001E-2</v>
      </c>
    </row>
    <row r="1026" spans="1:7" x14ac:dyDescent="0.3">
      <c r="A1026" s="25">
        <v>44602</v>
      </c>
      <c r="B1026" s="13">
        <v>17605.849999999999</v>
      </c>
      <c r="C1026" s="13">
        <v>17554.099999999999</v>
      </c>
      <c r="D1026" s="13">
        <v>17639.45</v>
      </c>
      <c r="E1026" s="13">
        <v>17427.150000000001</v>
      </c>
      <c r="F1026" t="s">
        <v>302</v>
      </c>
      <c r="G1026" s="4">
        <v>8.0999999999999996E-3</v>
      </c>
    </row>
    <row r="1027" spans="1:7" x14ac:dyDescent="0.3">
      <c r="A1027" s="25">
        <v>44601</v>
      </c>
      <c r="B1027" s="13">
        <v>17463.8</v>
      </c>
      <c r="C1027" s="13">
        <v>17370.099999999999</v>
      </c>
      <c r="D1027" s="13">
        <v>17477.150000000001</v>
      </c>
      <c r="E1027" s="13">
        <v>17339</v>
      </c>
      <c r="F1027" t="s">
        <v>301</v>
      </c>
      <c r="G1027" s="4">
        <v>1.14E-2</v>
      </c>
    </row>
    <row r="1028" spans="1:7" x14ac:dyDescent="0.3">
      <c r="A1028" s="25">
        <v>44600</v>
      </c>
      <c r="B1028" s="13">
        <v>17266.75</v>
      </c>
      <c r="C1028" s="13">
        <v>17279.849999999999</v>
      </c>
      <c r="D1028" s="13">
        <v>17306.45</v>
      </c>
      <c r="E1028" s="13">
        <v>17043.650000000001</v>
      </c>
      <c r="F1028" t="s">
        <v>300</v>
      </c>
      <c r="G1028" s="4">
        <v>3.0999999999999999E-3</v>
      </c>
    </row>
    <row r="1029" spans="1:7" x14ac:dyDescent="0.3">
      <c r="A1029" s="25">
        <v>44599</v>
      </c>
      <c r="B1029" s="13">
        <v>17213.599999999999</v>
      </c>
      <c r="C1029" s="13">
        <v>17456.3</v>
      </c>
      <c r="D1029" s="13">
        <v>17536.75</v>
      </c>
      <c r="E1029" s="13">
        <v>17119.400000000001</v>
      </c>
      <c r="F1029" t="s">
        <v>299</v>
      </c>
      <c r="G1029" s="4">
        <v>-1.7299999999999999E-2</v>
      </c>
    </row>
    <row r="1030" spans="1:7" x14ac:dyDescent="0.3">
      <c r="A1030" s="25">
        <v>44596</v>
      </c>
      <c r="B1030" s="13">
        <v>17516.3</v>
      </c>
      <c r="C1030" s="13">
        <v>17590.2</v>
      </c>
      <c r="D1030" s="13">
        <v>17617.8</v>
      </c>
      <c r="E1030" s="13">
        <v>17462.55</v>
      </c>
      <c r="F1030" t="s">
        <v>298</v>
      </c>
      <c r="G1030" s="4">
        <v>-2.5000000000000001E-3</v>
      </c>
    </row>
    <row r="1031" spans="1:7" x14ac:dyDescent="0.3">
      <c r="A1031" s="25">
        <v>44595</v>
      </c>
      <c r="B1031" s="13">
        <v>17560.2</v>
      </c>
      <c r="C1031" s="13">
        <v>17767.75</v>
      </c>
      <c r="D1031" s="13">
        <v>17781.150000000001</v>
      </c>
      <c r="E1031" s="13">
        <v>17511.150000000001</v>
      </c>
      <c r="F1031" t="s">
        <v>297</v>
      </c>
      <c r="G1031" s="4">
        <v>-1.24E-2</v>
      </c>
    </row>
    <row r="1032" spans="1:7" x14ac:dyDescent="0.3">
      <c r="A1032" s="25">
        <v>44594</v>
      </c>
      <c r="B1032" s="13">
        <v>17780</v>
      </c>
      <c r="C1032" s="13">
        <v>17706.2</v>
      </c>
      <c r="D1032" s="13">
        <v>17794.599999999999</v>
      </c>
      <c r="E1032" s="13">
        <v>17674.8</v>
      </c>
      <c r="F1032" t="s">
        <v>296</v>
      </c>
      <c r="G1032" s="4">
        <v>1.1599999999999999E-2</v>
      </c>
    </row>
    <row r="1033" spans="1:7" x14ac:dyDescent="0.3">
      <c r="A1033" s="25">
        <v>44593</v>
      </c>
      <c r="B1033" s="13">
        <v>17576.849999999999</v>
      </c>
      <c r="C1033" s="13">
        <v>17529.45</v>
      </c>
      <c r="D1033" s="13">
        <v>17622.400000000001</v>
      </c>
      <c r="E1033" s="13">
        <v>17244.55</v>
      </c>
      <c r="F1033" t="s">
        <v>295</v>
      </c>
      <c r="G1033" s="4">
        <v>1.37E-2</v>
      </c>
    </row>
    <row r="1034" spans="1:7" x14ac:dyDescent="0.3">
      <c r="A1034" s="25">
        <v>44592</v>
      </c>
      <c r="B1034" s="13">
        <v>17339.849999999999</v>
      </c>
      <c r="C1034" s="13">
        <v>17301.05</v>
      </c>
      <c r="D1034" s="13">
        <v>17410</v>
      </c>
      <c r="E1034" s="13">
        <v>17264.150000000001</v>
      </c>
      <c r="F1034" t="s">
        <v>294</v>
      </c>
      <c r="G1034" s="4">
        <v>1.3899999999999999E-2</v>
      </c>
    </row>
    <row r="1035" spans="1:7" x14ac:dyDescent="0.3">
      <c r="A1035" s="25">
        <v>44589</v>
      </c>
      <c r="B1035" s="13">
        <v>17101.95</v>
      </c>
      <c r="C1035" s="13">
        <v>17208.3</v>
      </c>
      <c r="D1035" s="13">
        <v>17373.5</v>
      </c>
      <c r="E1035" s="13">
        <v>17077.099999999999</v>
      </c>
      <c r="F1035" t="s">
        <v>293</v>
      </c>
      <c r="G1035" s="4">
        <v>-5.0000000000000001E-4</v>
      </c>
    </row>
    <row r="1036" spans="1:7" x14ac:dyDescent="0.3">
      <c r="A1036" s="25">
        <v>44588</v>
      </c>
      <c r="B1036" s="13">
        <v>17110.150000000001</v>
      </c>
      <c r="C1036" s="13">
        <v>17062</v>
      </c>
      <c r="D1036" s="13">
        <v>17182.5</v>
      </c>
      <c r="E1036" s="13">
        <v>16866.75</v>
      </c>
      <c r="F1036" t="s">
        <v>292</v>
      </c>
      <c r="G1036" s="4">
        <v>-9.7000000000000003E-3</v>
      </c>
    </row>
    <row r="1037" spans="1:7" x14ac:dyDescent="0.3">
      <c r="A1037" s="25">
        <v>44586</v>
      </c>
      <c r="B1037" s="13">
        <v>17277.95</v>
      </c>
      <c r="C1037" s="13">
        <v>17001.55</v>
      </c>
      <c r="D1037" s="13">
        <v>17309.150000000001</v>
      </c>
      <c r="E1037" s="13">
        <v>16836.8</v>
      </c>
      <c r="F1037" t="s">
        <v>291</v>
      </c>
      <c r="G1037" s="4">
        <v>7.4999999999999997E-3</v>
      </c>
    </row>
    <row r="1038" spans="1:7" x14ac:dyDescent="0.3">
      <c r="A1038" s="25">
        <v>44585</v>
      </c>
      <c r="B1038" s="13">
        <v>17149.099999999999</v>
      </c>
      <c r="C1038" s="13">
        <v>17575.150000000001</v>
      </c>
      <c r="D1038" s="13">
        <v>17599.400000000001</v>
      </c>
      <c r="E1038" s="13">
        <v>16997.849999999999</v>
      </c>
      <c r="F1038" t="s">
        <v>290</v>
      </c>
      <c r="G1038" s="4">
        <v>-2.6599999999999999E-2</v>
      </c>
    </row>
    <row r="1039" spans="1:7" x14ac:dyDescent="0.3">
      <c r="A1039" s="25">
        <v>44582</v>
      </c>
      <c r="B1039" s="13">
        <v>17617.150000000001</v>
      </c>
      <c r="C1039" s="13">
        <v>17613.7</v>
      </c>
      <c r="D1039" s="13">
        <v>17707.599999999999</v>
      </c>
      <c r="E1039" s="13">
        <v>17485.849999999999</v>
      </c>
      <c r="F1039" t="s">
        <v>289</v>
      </c>
      <c r="G1039" s="4">
        <v>-7.9000000000000008E-3</v>
      </c>
    </row>
    <row r="1040" spans="1:7" x14ac:dyDescent="0.3">
      <c r="A1040" s="25">
        <v>44581</v>
      </c>
      <c r="B1040" s="13">
        <v>17757</v>
      </c>
      <c r="C1040" s="13">
        <v>17921</v>
      </c>
      <c r="D1040" s="13">
        <v>17943.7</v>
      </c>
      <c r="E1040" s="13">
        <v>17648.45</v>
      </c>
      <c r="F1040" t="s">
        <v>288</v>
      </c>
      <c r="G1040" s="4">
        <v>-1.01E-2</v>
      </c>
    </row>
    <row r="1041" spans="1:7" x14ac:dyDescent="0.3">
      <c r="A1041" s="25">
        <v>44580</v>
      </c>
      <c r="B1041" s="13">
        <v>17938.400000000001</v>
      </c>
      <c r="C1041" s="13">
        <v>18129.2</v>
      </c>
      <c r="D1041" s="13">
        <v>18129.2</v>
      </c>
      <c r="E1041" s="13">
        <v>17884.900000000001</v>
      </c>
      <c r="F1041" t="s">
        <v>287</v>
      </c>
      <c r="G1041" s="4">
        <v>-9.5999999999999992E-3</v>
      </c>
    </row>
    <row r="1042" spans="1:7" x14ac:dyDescent="0.3">
      <c r="A1042" s="25">
        <v>44579</v>
      </c>
      <c r="B1042" s="13">
        <v>18113.05</v>
      </c>
      <c r="C1042" s="13">
        <v>18337.2</v>
      </c>
      <c r="D1042" s="13">
        <v>18350.95</v>
      </c>
      <c r="E1042" s="13">
        <v>18085.900000000001</v>
      </c>
      <c r="F1042" t="s">
        <v>286</v>
      </c>
      <c r="G1042" s="4">
        <v>-1.0699999999999999E-2</v>
      </c>
    </row>
    <row r="1043" spans="1:7" x14ac:dyDescent="0.3">
      <c r="A1043" s="25">
        <v>44578</v>
      </c>
      <c r="B1043" s="13">
        <v>18308.099999999999</v>
      </c>
      <c r="C1043" s="13">
        <v>18235.650000000001</v>
      </c>
      <c r="D1043" s="13">
        <v>18321.55</v>
      </c>
      <c r="E1043" s="13">
        <v>18228.75</v>
      </c>
      <c r="F1043" t="s">
        <v>285</v>
      </c>
      <c r="G1043" s="4">
        <v>2.8999999999999998E-3</v>
      </c>
    </row>
    <row r="1044" spans="1:7" x14ac:dyDescent="0.3">
      <c r="A1044" s="25">
        <v>44575</v>
      </c>
      <c r="B1044" s="13">
        <v>18255.75</v>
      </c>
      <c r="C1044" s="13">
        <v>18185</v>
      </c>
      <c r="D1044" s="13">
        <v>18286.95</v>
      </c>
      <c r="E1044" s="13">
        <v>18119.650000000001</v>
      </c>
      <c r="F1044" t="s">
        <v>284</v>
      </c>
      <c r="G1044" s="4">
        <v>-1E-4</v>
      </c>
    </row>
    <row r="1045" spans="1:7" x14ac:dyDescent="0.3">
      <c r="A1045" s="25">
        <v>44574</v>
      </c>
      <c r="B1045" s="13">
        <v>18257.8</v>
      </c>
      <c r="C1045" s="13">
        <v>18257</v>
      </c>
      <c r="D1045" s="13">
        <v>18272.25</v>
      </c>
      <c r="E1045" s="13">
        <v>18163.8</v>
      </c>
      <c r="F1045" t="s">
        <v>283</v>
      </c>
      <c r="G1045" s="4">
        <v>2.5000000000000001E-3</v>
      </c>
    </row>
    <row r="1046" spans="1:7" x14ac:dyDescent="0.3">
      <c r="A1046" s="25">
        <v>44573</v>
      </c>
      <c r="B1046" s="13">
        <v>18212.349999999999</v>
      </c>
      <c r="C1046" s="13">
        <v>18170.400000000001</v>
      </c>
      <c r="D1046" s="13">
        <v>18227.95</v>
      </c>
      <c r="E1046" s="13">
        <v>18128.8</v>
      </c>
      <c r="F1046" t="s">
        <v>282</v>
      </c>
      <c r="G1046" s="4">
        <v>8.6999999999999994E-3</v>
      </c>
    </row>
    <row r="1047" spans="1:7" x14ac:dyDescent="0.3">
      <c r="A1047" s="25">
        <v>44572</v>
      </c>
      <c r="B1047" s="13">
        <v>18055.75</v>
      </c>
      <c r="C1047" s="13">
        <v>17997.75</v>
      </c>
      <c r="D1047" s="13">
        <v>18081.25</v>
      </c>
      <c r="E1047" s="13">
        <v>17964.400000000001</v>
      </c>
      <c r="F1047" t="s">
        <v>281</v>
      </c>
      <c r="G1047" s="4">
        <v>2.8999999999999998E-3</v>
      </c>
    </row>
    <row r="1048" spans="1:7" x14ac:dyDescent="0.3">
      <c r="A1048" s="25">
        <v>44571</v>
      </c>
      <c r="B1048" s="13">
        <v>18003.3</v>
      </c>
      <c r="C1048" s="13">
        <v>17913.3</v>
      </c>
      <c r="D1048" s="13">
        <v>18017.45</v>
      </c>
      <c r="E1048" s="13">
        <v>17879.150000000001</v>
      </c>
      <c r="F1048" t="s">
        <v>280</v>
      </c>
      <c r="G1048" s="4">
        <v>1.0699999999999999E-2</v>
      </c>
    </row>
    <row r="1049" spans="1:7" x14ac:dyDescent="0.3">
      <c r="A1049" s="25">
        <v>44568</v>
      </c>
      <c r="B1049" s="13">
        <v>17812.7</v>
      </c>
      <c r="C1049" s="13">
        <v>17797.599999999999</v>
      </c>
      <c r="D1049" s="13">
        <v>17905</v>
      </c>
      <c r="E1049" s="13">
        <v>17704.55</v>
      </c>
      <c r="F1049" t="s">
        <v>279</v>
      </c>
      <c r="G1049" s="4">
        <v>3.8E-3</v>
      </c>
    </row>
    <row r="1050" spans="1:7" x14ac:dyDescent="0.3">
      <c r="A1050" s="25">
        <v>44567</v>
      </c>
      <c r="B1050" s="13">
        <v>17745.900000000001</v>
      </c>
      <c r="C1050" s="13">
        <v>17768.5</v>
      </c>
      <c r="D1050" s="13">
        <v>17797.95</v>
      </c>
      <c r="E1050" s="13">
        <v>17655.55</v>
      </c>
      <c r="F1050" t="s">
        <v>278</v>
      </c>
      <c r="G1050" s="4">
        <v>-0.01</v>
      </c>
    </row>
    <row r="1051" spans="1:7" x14ac:dyDescent="0.3">
      <c r="A1051" s="25">
        <v>44566</v>
      </c>
      <c r="B1051" s="13">
        <v>17925.25</v>
      </c>
      <c r="C1051" s="13">
        <v>17820.099999999999</v>
      </c>
      <c r="D1051" s="13">
        <v>17944.7</v>
      </c>
      <c r="E1051" s="13">
        <v>17748.849999999999</v>
      </c>
      <c r="F1051" t="s">
        <v>277</v>
      </c>
      <c r="G1051" s="4">
        <v>6.7000000000000002E-3</v>
      </c>
    </row>
    <row r="1052" spans="1:7" x14ac:dyDescent="0.3">
      <c r="A1052" s="25">
        <v>44565</v>
      </c>
      <c r="B1052" s="13">
        <v>17805.25</v>
      </c>
      <c r="C1052" s="13">
        <v>17681.400000000001</v>
      </c>
      <c r="D1052" s="13">
        <v>17827.599999999999</v>
      </c>
      <c r="E1052" s="13">
        <v>17593.55</v>
      </c>
      <c r="F1052" t="s">
        <v>276</v>
      </c>
      <c r="G1052" s="4">
        <v>1.0200000000000001E-2</v>
      </c>
    </row>
    <row r="1053" spans="1:7" x14ac:dyDescent="0.3">
      <c r="A1053" s="25">
        <v>44564</v>
      </c>
      <c r="B1053" s="13">
        <v>17625.7</v>
      </c>
      <c r="C1053" s="13">
        <v>17387.150000000001</v>
      </c>
      <c r="D1053" s="13">
        <v>17646.650000000001</v>
      </c>
      <c r="E1053" s="13">
        <v>17383.3</v>
      </c>
      <c r="F1053" t="s">
        <v>275</v>
      </c>
      <c r="G1053" s="4">
        <v>1.5699999999999999E-2</v>
      </c>
    </row>
    <row r="1054" spans="1:7" x14ac:dyDescent="0.3">
      <c r="A1054" s="25">
        <v>44561</v>
      </c>
      <c r="B1054" s="13">
        <v>17354.05</v>
      </c>
      <c r="C1054" s="13">
        <v>17244.5</v>
      </c>
      <c r="D1054" s="13">
        <v>17400.8</v>
      </c>
      <c r="E1054" s="13">
        <v>17238.5</v>
      </c>
      <c r="F1054" t="s">
        <v>274</v>
      </c>
      <c r="G1054" s="4">
        <v>8.6999999999999994E-3</v>
      </c>
    </row>
    <row r="1055" spans="1:7" x14ac:dyDescent="0.3">
      <c r="A1055" s="25">
        <v>44560</v>
      </c>
      <c r="B1055" s="13">
        <v>17203.95</v>
      </c>
      <c r="C1055" s="13">
        <v>17201.45</v>
      </c>
      <c r="D1055" s="13">
        <v>17264.05</v>
      </c>
      <c r="E1055" s="13">
        <v>17146.349999999999</v>
      </c>
      <c r="F1055" t="s">
        <v>273</v>
      </c>
      <c r="G1055" s="4">
        <v>-5.9999999999999995E-4</v>
      </c>
    </row>
    <row r="1056" spans="1:7" x14ac:dyDescent="0.3">
      <c r="A1056" s="25">
        <v>44559</v>
      </c>
      <c r="B1056" s="13">
        <v>17213.599999999999</v>
      </c>
      <c r="C1056" s="13">
        <v>17220.099999999999</v>
      </c>
      <c r="D1056" s="13">
        <v>17285.95</v>
      </c>
      <c r="E1056" s="13">
        <v>17176.650000000001</v>
      </c>
      <c r="F1056" t="s">
        <v>272</v>
      </c>
      <c r="G1056" s="4">
        <v>-1.1000000000000001E-3</v>
      </c>
    </row>
    <row r="1057" spans="1:7" x14ac:dyDescent="0.3">
      <c r="A1057" s="25">
        <v>44558</v>
      </c>
      <c r="B1057" s="13">
        <v>17233.25</v>
      </c>
      <c r="C1057" s="13">
        <v>17177.599999999999</v>
      </c>
      <c r="D1057" s="13">
        <v>17250.25</v>
      </c>
      <c r="E1057" s="13">
        <v>17161.150000000001</v>
      </c>
      <c r="F1057" t="s">
        <v>271</v>
      </c>
      <c r="G1057" s="4">
        <v>8.6E-3</v>
      </c>
    </row>
    <row r="1058" spans="1:7" x14ac:dyDescent="0.3">
      <c r="A1058" s="25">
        <v>44557</v>
      </c>
      <c r="B1058" s="13">
        <v>17086.25</v>
      </c>
      <c r="C1058" s="13">
        <v>16937.75</v>
      </c>
      <c r="D1058" s="13">
        <v>17112.05</v>
      </c>
      <c r="E1058" s="13">
        <v>16833.2</v>
      </c>
      <c r="F1058" t="s">
        <v>270</v>
      </c>
      <c r="G1058" s="4">
        <v>4.8999999999999998E-3</v>
      </c>
    </row>
    <row r="1059" spans="1:7" x14ac:dyDescent="0.3">
      <c r="A1059" s="25">
        <v>44554</v>
      </c>
      <c r="B1059" s="13">
        <v>17003.75</v>
      </c>
      <c r="C1059" s="13">
        <v>17149.5</v>
      </c>
      <c r="D1059" s="13">
        <v>17155.599999999999</v>
      </c>
      <c r="E1059" s="13">
        <v>16909.599999999999</v>
      </c>
      <c r="F1059" t="s">
        <v>269</v>
      </c>
      <c r="G1059" s="4">
        <v>-4.0000000000000001E-3</v>
      </c>
    </row>
    <row r="1060" spans="1:7" x14ac:dyDescent="0.3">
      <c r="A1060" s="25">
        <v>44553</v>
      </c>
      <c r="B1060" s="13">
        <v>17072.599999999999</v>
      </c>
      <c r="C1060" s="13">
        <v>17066.8</v>
      </c>
      <c r="D1060" s="13">
        <v>17118.650000000001</v>
      </c>
      <c r="E1060" s="13">
        <v>17015.55</v>
      </c>
      <c r="F1060" t="s">
        <v>268</v>
      </c>
      <c r="G1060" s="4">
        <v>6.8999999999999999E-3</v>
      </c>
    </row>
    <row r="1061" spans="1:7" x14ac:dyDescent="0.3">
      <c r="A1061" s="25">
        <v>44552</v>
      </c>
      <c r="B1061" s="13">
        <v>16955.45</v>
      </c>
      <c r="C1061" s="13">
        <v>16865.55</v>
      </c>
      <c r="D1061" s="13">
        <v>16971</v>
      </c>
      <c r="E1061" s="13">
        <v>16819.5</v>
      </c>
      <c r="F1061" t="s">
        <v>267</v>
      </c>
      <c r="G1061" s="4">
        <v>1.0999999999999999E-2</v>
      </c>
    </row>
    <row r="1062" spans="1:7" x14ac:dyDescent="0.3">
      <c r="A1062" s="25">
        <v>44551</v>
      </c>
      <c r="B1062" s="13">
        <v>16770.849999999999</v>
      </c>
      <c r="C1062" s="13">
        <v>16773.150000000001</v>
      </c>
      <c r="D1062" s="13">
        <v>16936.400000000001</v>
      </c>
      <c r="E1062" s="13">
        <v>16688.25</v>
      </c>
      <c r="F1062" t="s">
        <v>266</v>
      </c>
      <c r="G1062" s="4">
        <v>9.4000000000000004E-3</v>
      </c>
    </row>
    <row r="1063" spans="1:7" x14ac:dyDescent="0.3">
      <c r="A1063" s="25">
        <v>44550</v>
      </c>
      <c r="B1063" s="13">
        <v>16614.2</v>
      </c>
      <c r="C1063" s="13">
        <v>16824.25</v>
      </c>
      <c r="D1063" s="13">
        <v>16840.099999999999</v>
      </c>
      <c r="E1063" s="13">
        <v>16410.2</v>
      </c>
      <c r="F1063" t="s">
        <v>265</v>
      </c>
      <c r="G1063" s="4">
        <v>-2.18E-2</v>
      </c>
    </row>
    <row r="1064" spans="1:7" x14ac:dyDescent="0.3">
      <c r="A1064" s="25">
        <v>44547</v>
      </c>
      <c r="B1064" s="13">
        <v>16985.2</v>
      </c>
      <c r="C1064" s="13">
        <v>17276</v>
      </c>
      <c r="D1064" s="13">
        <v>17298.150000000001</v>
      </c>
      <c r="E1064" s="13">
        <v>16966.45</v>
      </c>
      <c r="F1064" t="s">
        <v>264</v>
      </c>
      <c r="G1064" s="4">
        <v>-1.5299999999999999E-2</v>
      </c>
    </row>
    <row r="1065" spans="1:7" x14ac:dyDescent="0.3">
      <c r="A1065" s="25">
        <v>44546</v>
      </c>
      <c r="B1065" s="13">
        <v>17248.400000000001</v>
      </c>
      <c r="C1065" s="13">
        <v>17373</v>
      </c>
      <c r="D1065" s="13">
        <v>17379.349999999999</v>
      </c>
      <c r="E1065" s="13">
        <v>17184.95</v>
      </c>
      <c r="F1065" t="s">
        <v>263</v>
      </c>
      <c r="G1065" s="4">
        <v>1.6000000000000001E-3</v>
      </c>
    </row>
    <row r="1066" spans="1:7" x14ac:dyDescent="0.3">
      <c r="A1066" s="25">
        <v>44545</v>
      </c>
      <c r="B1066" s="13">
        <v>17221.400000000001</v>
      </c>
      <c r="C1066" s="13">
        <v>17323.650000000001</v>
      </c>
      <c r="D1066" s="13">
        <v>17351.2</v>
      </c>
      <c r="E1066" s="13">
        <v>17192.2</v>
      </c>
      <c r="F1066" t="s">
        <v>262</v>
      </c>
      <c r="G1066" s="4">
        <v>-6.0000000000000001E-3</v>
      </c>
    </row>
    <row r="1067" spans="1:7" x14ac:dyDescent="0.3">
      <c r="A1067" s="25">
        <v>44544</v>
      </c>
      <c r="B1067" s="13">
        <v>17324.900000000001</v>
      </c>
      <c r="C1067" s="13">
        <v>17283.2</v>
      </c>
      <c r="D1067" s="13">
        <v>17376.2</v>
      </c>
      <c r="E1067" s="13">
        <v>17225.8</v>
      </c>
      <c r="F1067" t="s">
        <v>261</v>
      </c>
      <c r="G1067" s="4">
        <v>-2.5000000000000001E-3</v>
      </c>
    </row>
    <row r="1068" spans="1:7" x14ac:dyDescent="0.3">
      <c r="A1068" s="25">
        <v>44543</v>
      </c>
      <c r="B1068" s="13">
        <v>17368.25</v>
      </c>
      <c r="C1068" s="13">
        <v>17619.099999999999</v>
      </c>
      <c r="D1068" s="13">
        <v>17639.5</v>
      </c>
      <c r="E1068" s="13">
        <v>17355.95</v>
      </c>
      <c r="F1068" t="s">
        <v>260</v>
      </c>
      <c r="G1068" s="4">
        <v>-8.2000000000000007E-3</v>
      </c>
    </row>
    <row r="1069" spans="1:7" x14ac:dyDescent="0.3">
      <c r="A1069" s="25">
        <v>44540</v>
      </c>
      <c r="B1069" s="13">
        <v>17511.3</v>
      </c>
      <c r="C1069" s="13">
        <v>17476.05</v>
      </c>
      <c r="D1069" s="13">
        <v>17534.349999999999</v>
      </c>
      <c r="E1069" s="13">
        <v>17405.25</v>
      </c>
      <c r="F1069" t="s">
        <v>259</v>
      </c>
      <c r="G1069" s="4">
        <v>-2.9999999999999997E-4</v>
      </c>
    </row>
    <row r="1070" spans="1:7" x14ac:dyDescent="0.3">
      <c r="A1070" s="25">
        <v>44539</v>
      </c>
      <c r="B1070" s="13">
        <v>17516.849999999999</v>
      </c>
      <c r="C1070" s="13">
        <v>17524.400000000001</v>
      </c>
      <c r="D1070" s="13">
        <v>17543.25</v>
      </c>
      <c r="E1070" s="13">
        <v>17379.599999999999</v>
      </c>
      <c r="F1070" t="s">
        <v>258</v>
      </c>
      <c r="G1070" s="4">
        <v>2.7000000000000001E-3</v>
      </c>
    </row>
    <row r="1071" spans="1:7" x14ac:dyDescent="0.3">
      <c r="A1071" s="25">
        <v>44538</v>
      </c>
      <c r="B1071" s="13">
        <v>17469.75</v>
      </c>
      <c r="C1071" s="13">
        <v>17315.25</v>
      </c>
      <c r="D1071" s="13">
        <v>17484.599999999999</v>
      </c>
      <c r="E1071" s="13">
        <v>17308.95</v>
      </c>
      <c r="F1071" t="s">
        <v>257</v>
      </c>
      <c r="G1071" s="4">
        <v>1.7100000000000001E-2</v>
      </c>
    </row>
    <row r="1072" spans="1:7" x14ac:dyDescent="0.3">
      <c r="A1072" s="25">
        <v>44537</v>
      </c>
      <c r="B1072" s="13">
        <v>17176.7</v>
      </c>
      <c r="C1072" s="13">
        <v>17044.099999999999</v>
      </c>
      <c r="D1072" s="13">
        <v>17251.650000000001</v>
      </c>
      <c r="E1072" s="13">
        <v>16987.75</v>
      </c>
      <c r="F1072" t="s">
        <v>256</v>
      </c>
      <c r="G1072" s="4">
        <v>1.5599999999999999E-2</v>
      </c>
    </row>
    <row r="1073" spans="1:7" x14ac:dyDescent="0.3">
      <c r="A1073" s="25">
        <v>44536</v>
      </c>
      <c r="B1073" s="13">
        <v>16912.25</v>
      </c>
      <c r="C1073" s="13">
        <v>17209.05</v>
      </c>
      <c r="D1073" s="13">
        <v>17216.75</v>
      </c>
      <c r="E1073" s="13">
        <v>16891.7</v>
      </c>
      <c r="F1073" t="s">
        <v>255</v>
      </c>
      <c r="G1073" s="4">
        <v>-1.6500000000000001E-2</v>
      </c>
    </row>
    <row r="1074" spans="1:7" x14ac:dyDescent="0.3">
      <c r="A1074" s="25">
        <v>44533</v>
      </c>
      <c r="B1074" s="13">
        <v>17196.7</v>
      </c>
      <c r="C1074" s="13">
        <v>17424.900000000001</v>
      </c>
      <c r="D1074" s="13">
        <v>17489.8</v>
      </c>
      <c r="E1074" s="13">
        <v>17180.8</v>
      </c>
      <c r="F1074" t="s">
        <v>254</v>
      </c>
      <c r="G1074" s="4">
        <v>-1.18E-2</v>
      </c>
    </row>
    <row r="1075" spans="1:7" x14ac:dyDescent="0.3">
      <c r="A1075" s="25">
        <v>44532</v>
      </c>
      <c r="B1075" s="13">
        <v>17401.650000000001</v>
      </c>
      <c r="C1075" s="13">
        <v>17183.2</v>
      </c>
      <c r="D1075" s="13">
        <v>17420.349999999999</v>
      </c>
      <c r="E1075" s="13">
        <v>17149.3</v>
      </c>
      <c r="F1075" t="s">
        <v>253</v>
      </c>
      <c r="G1075" s="4">
        <v>1.37E-2</v>
      </c>
    </row>
    <row r="1076" spans="1:7" x14ac:dyDescent="0.3">
      <c r="A1076" s="25">
        <v>44531</v>
      </c>
      <c r="B1076" s="13">
        <v>17166.900000000001</v>
      </c>
      <c r="C1076" s="13">
        <v>17104.400000000001</v>
      </c>
      <c r="D1076" s="13">
        <v>17213.05</v>
      </c>
      <c r="E1076" s="13">
        <v>17064.25</v>
      </c>
      <c r="F1076" t="s">
        <v>252</v>
      </c>
      <c r="G1076" s="4">
        <v>1.0800000000000001E-2</v>
      </c>
    </row>
    <row r="1077" spans="1:7" x14ac:dyDescent="0.3">
      <c r="A1077" s="25">
        <v>44530</v>
      </c>
      <c r="B1077" s="13">
        <v>16983.2</v>
      </c>
      <c r="C1077" s="13">
        <v>17051.150000000001</v>
      </c>
      <c r="D1077" s="13">
        <v>17324.650000000001</v>
      </c>
      <c r="E1077" s="13">
        <v>16931.400000000001</v>
      </c>
      <c r="F1077" t="s">
        <v>251</v>
      </c>
      <c r="G1077" s="4">
        <v>-4.1000000000000003E-3</v>
      </c>
    </row>
    <row r="1078" spans="1:7" x14ac:dyDescent="0.3">
      <c r="A1078" s="25">
        <v>44529</v>
      </c>
      <c r="B1078" s="13">
        <v>17053.95</v>
      </c>
      <c r="C1078" s="13">
        <v>17055.8</v>
      </c>
      <c r="D1078" s="13">
        <v>17160.7</v>
      </c>
      <c r="E1078" s="13">
        <v>16782.400000000001</v>
      </c>
      <c r="F1078" t="s">
        <v>250</v>
      </c>
      <c r="G1078" s="4">
        <v>1.6000000000000001E-3</v>
      </c>
    </row>
    <row r="1079" spans="1:7" x14ac:dyDescent="0.3">
      <c r="A1079" s="25">
        <v>44526</v>
      </c>
      <c r="B1079" s="13">
        <v>17026.45</v>
      </c>
      <c r="C1079" s="13">
        <v>17338.75</v>
      </c>
      <c r="D1079" s="13">
        <v>17355.400000000001</v>
      </c>
      <c r="E1079" s="13">
        <v>16985.7</v>
      </c>
      <c r="F1079" t="s">
        <v>249</v>
      </c>
      <c r="G1079" s="4">
        <v>-2.9100000000000001E-2</v>
      </c>
    </row>
    <row r="1080" spans="1:7" x14ac:dyDescent="0.3">
      <c r="A1080" s="25">
        <v>44525</v>
      </c>
      <c r="B1080" s="13">
        <v>17536.25</v>
      </c>
      <c r="C1080" s="13">
        <v>17417.3</v>
      </c>
      <c r="D1080" s="13">
        <v>17564.349999999999</v>
      </c>
      <c r="E1080" s="13">
        <v>17351.7</v>
      </c>
      <c r="F1080" t="s">
        <v>248</v>
      </c>
      <c r="G1080" s="4">
        <v>7.0000000000000001E-3</v>
      </c>
    </row>
    <row r="1081" spans="1:7" x14ac:dyDescent="0.3">
      <c r="A1081" s="25">
        <v>44524</v>
      </c>
      <c r="B1081" s="13">
        <v>17415.05</v>
      </c>
      <c r="C1081" s="13">
        <v>17550.05</v>
      </c>
      <c r="D1081" s="13">
        <v>17600.599999999999</v>
      </c>
      <c r="E1081" s="13">
        <v>17354</v>
      </c>
      <c r="F1081" t="s">
        <v>247</v>
      </c>
      <c r="G1081" s="4">
        <v>-5.0000000000000001E-3</v>
      </c>
    </row>
    <row r="1082" spans="1:7" x14ac:dyDescent="0.3">
      <c r="A1082" s="25">
        <v>44523</v>
      </c>
      <c r="B1082" s="13">
        <v>17503.349999999999</v>
      </c>
      <c r="C1082" s="13">
        <v>17281.75</v>
      </c>
      <c r="D1082" s="13">
        <v>17553.7</v>
      </c>
      <c r="E1082" s="13">
        <v>17216.099999999999</v>
      </c>
      <c r="F1082" t="s">
        <v>246</v>
      </c>
      <c r="G1082" s="4">
        <v>5.0000000000000001E-3</v>
      </c>
    </row>
    <row r="1083" spans="1:7" x14ac:dyDescent="0.3">
      <c r="A1083" s="25">
        <v>44522</v>
      </c>
      <c r="B1083" s="13">
        <v>17416.55</v>
      </c>
      <c r="C1083" s="13">
        <v>17796.25</v>
      </c>
      <c r="D1083" s="13">
        <v>17805.25</v>
      </c>
      <c r="E1083" s="13">
        <v>17280.45</v>
      </c>
      <c r="F1083" t="s">
        <v>245</v>
      </c>
      <c r="G1083" s="4">
        <v>-1.9599999999999999E-2</v>
      </c>
    </row>
    <row r="1084" spans="1:7" x14ac:dyDescent="0.3">
      <c r="A1084" s="25">
        <v>44518</v>
      </c>
      <c r="B1084" s="13">
        <v>17764.8</v>
      </c>
      <c r="C1084" s="13">
        <v>17890.55</v>
      </c>
      <c r="D1084" s="13">
        <v>17945.599999999999</v>
      </c>
      <c r="E1084" s="13">
        <v>17688.5</v>
      </c>
      <c r="F1084" t="s">
        <v>244</v>
      </c>
      <c r="G1084" s="4">
        <v>-7.4999999999999997E-3</v>
      </c>
    </row>
    <row r="1085" spans="1:7" x14ac:dyDescent="0.3">
      <c r="A1085" s="25">
        <v>44517</v>
      </c>
      <c r="B1085" s="13">
        <v>17898.650000000001</v>
      </c>
      <c r="C1085" s="13">
        <v>17939.349999999999</v>
      </c>
      <c r="D1085" s="13">
        <v>18022.650000000001</v>
      </c>
      <c r="E1085" s="13">
        <v>17879.25</v>
      </c>
      <c r="F1085" t="s">
        <v>243</v>
      </c>
      <c r="G1085" s="4">
        <v>-5.5999999999999999E-3</v>
      </c>
    </row>
    <row r="1086" spans="1:7" x14ac:dyDescent="0.3">
      <c r="A1086" s="25">
        <v>44516</v>
      </c>
      <c r="B1086" s="13">
        <v>17999.2</v>
      </c>
      <c r="C1086" s="13">
        <v>18127.05</v>
      </c>
      <c r="D1086" s="13">
        <v>18132.650000000001</v>
      </c>
      <c r="E1086" s="13">
        <v>17958.8</v>
      </c>
      <c r="F1086" t="s">
        <v>242</v>
      </c>
      <c r="G1086" s="4">
        <v>-6.1000000000000004E-3</v>
      </c>
    </row>
    <row r="1087" spans="1:7" x14ac:dyDescent="0.3">
      <c r="A1087" s="25">
        <v>44515</v>
      </c>
      <c r="B1087" s="13">
        <v>18109.45</v>
      </c>
      <c r="C1087" s="13">
        <v>18140.95</v>
      </c>
      <c r="D1087" s="13">
        <v>18210.150000000001</v>
      </c>
      <c r="E1087" s="13">
        <v>18071.3</v>
      </c>
      <c r="F1087" t="s">
        <v>241</v>
      </c>
      <c r="G1087" s="4">
        <v>4.0000000000000002E-4</v>
      </c>
    </row>
    <row r="1088" spans="1:7" x14ac:dyDescent="0.3">
      <c r="A1088" s="25">
        <v>44512</v>
      </c>
      <c r="B1088" s="13">
        <v>18102.75</v>
      </c>
      <c r="C1088" s="13">
        <v>17977.599999999999</v>
      </c>
      <c r="D1088" s="13">
        <v>18123</v>
      </c>
      <c r="E1088" s="13">
        <v>17905.900000000001</v>
      </c>
      <c r="F1088" t="s">
        <v>240</v>
      </c>
      <c r="G1088" s="4">
        <v>1.2800000000000001E-2</v>
      </c>
    </row>
    <row r="1089" spans="1:7" x14ac:dyDescent="0.3">
      <c r="A1089" s="25">
        <v>44511</v>
      </c>
      <c r="B1089" s="13">
        <v>17873.599999999999</v>
      </c>
      <c r="C1089" s="13">
        <v>17967.45</v>
      </c>
      <c r="D1089" s="13">
        <v>17971.349999999999</v>
      </c>
      <c r="E1089" s="13">
        <v>17798.2</v>
      </c>
      <c r="F1089" t="s">
        <v>239</v>
      </c>
      <c r="G1089" s="4">
        <v>-8.0000000000000002E-3</v>
      </c>
    </row>
    <row r="1090" spans="1:7" x14ac:dyDescent="0.3">
      <c r="A1090" s="25">
        <v>44510</v>
      </c>
      <c r="B1090" s="13">
        <v>18017.2</v>
      </c>
      <c r="C1090" s="13">
        <v>17973.45</v>
      </c>
      <c r="D1090" s="13">
        <v>18061.25</v>
      </c>
      <c r="E1090" s="13">
        <v>17915</v>
      </c>
      <c r="F1090" t="s">
        <v>238</v>
      </c>
      <c r="G1090" s="4">
        <v>-1.5E-3</v>
      </c>
    </row>
    <row r="1091" spans="1:7" x14ac:dyDescent="0.3">
      <c r="A1091" s="25">
        <v>44509</v>
      </c>
      <c r="B1091" s="13">
        <v>18044.25</v>
      </c>
      <c r="C1091" s="13">
        <v>18084.349999999999</v>
      </c>
      <c r="D1091" s="13">
        <v>18112.599999999999</v>
      </c>
      <c r="E1091" s="13">
        <v>17983.05</v>
      </c>
      <c r="F1091" t="s">
        <v>237</v>
      </c>
      <c r="G1091" s="4">
        <v>-1.2999999999999999E-3</v>
      </c>
    </row>
    <row r="1092" spans="1:7" x14ac:dyDescent="0.3">
      <c r="A1092" s="25">
        <v>44508</v>
      </c>
      <c r="B1092" s="13">
        <v>18068.55</v>
      </c>
      <c r="C1092" s="13">
        <v>18040.2</v>
      </c>
      <c r="D1092" s="13">
        <v>18087.8</v>
      </c>
      <c r="E1092" s="13">
        <v>17836.099999999999</v>
      </c>
      <c r="F1092" t="s">
        <v>236</v>
      </c>
      <c r="G1092" s="4">
        <v>8.5000000000000006E-3</v>
      </c>
    </row>
    <row r="1093" spans="1:7" x14ac:dyDescent="0.3">
      <c r="A1093" s="25">
        <v>44504</v>
      </c>
      <c r="B1093" s="13">
        <v>17916.8</v>
      </c>
      <c r="C1093" s="13">
        <v>17935.05</v>
      </c>
      <c r="D1093" s="13">
        <v>17947.55</v>
      </c>
      <c r="E1093" s="13">
        <v>17900.599999999999</v>
      </c>
      <c r="F1093" t="s">
        <v>235</v>
      </c>
      <c r="G1093" s="4">
        <v>4.8999999999999998E-3</v>
      </c>
    </row>
    <row r="1094" spans="1:7" x14ac:dyDescent="0.3">
      <c r="A1094" s="25">
        <v>44503</v>
      </c>
      <c r="B1094" s="13">
        <v>17829.2</v>
      </c>
      <c r="C1094" s="13">
        <v>17947.95</v>
      </c>
      <c r="D1094" s="13">
        <v>17988.75</v>
      </c>
      <c r="E1094" s="13">
        <v>17757.95</v>
      </c>
      <c r="F1094" t="s">
        <v>234</v>
      </c>
      <c r="G1094" s="4">
        <v>-3.3E-3</v>
      </c>
    </row>
    <row r="1095" spans="1:7" x14ac:dyDescent="0.3">
      <c r="A1095" s="25">
        <v>44502</v>
      </c>
      <c r="B1095" s="13">
        <v>17888.95</v>
      </c>
      <c r="C1095" s="13">
        <v>17970.900000000001</v>
      </c>
      <c r="D1095" s="13">
        <v>18012.25</v>
      </c>
      <c r="E1095" s="13">
        <v>17847.599999999999</v>
      </c>
      <c r="F1095" t="s">
        <v>233</v>
      </c>
      <c r="G1095" s="4">
        <v>-2.3E-3</v>
      </c>
    </row>
    <row r="1096" spans="1:7" x14ac:dyDescent="0.3">
      <c r="A1096" s="25">
        <v>44501</v>
      </c>
      <c r="B1096" s="13">
        <v>17929.650000000001</v>
      </c>
      <c r="C1096" s="13">
        <v>17783.150000000001</v>
      </c>
      <c r="D1096" s="13">
        <v>17954.099999999999</v>
      </c>
      <c r="E1096" s="13">
        <v>17697.099999999999</v>
      </c>
      <c r="F1096" t="s">
        <v>232</v>
      </c>
      <c r="G1096" s="4">
        <v>1.46E-2</v>
      </c>
    </row>
    <row r="1097" spans="1:7" x14ac:dyDescent="0.3">
      <c r="A1097" s="25">
        <v>44498</v>
      </c>
      <c r="B1097" s="13">
        <v>17671.650000000001</v>
      </c>
      <c r="C1097" s="13">
        <v>17833.05</v>
      </c>
      <c r="D1097" s="13">
        <v>17915.849999999999</v>
      </c>
      <c r="E1097" s="13">
        <v>17613.099999999999</v>
      </c>
      <c r="F1097" t="s">
        <v>231</v>
      </c>
      <c r="G1097" s="4">
        <v>-1.04E-2</v>
      </c>
    </row>
    <row r="1098" spans="1:7" x14ac:dyDescent="0.3">
      <c r="A1098" s="25">
        <v>44497</v>
      </c>
      <c r="B1098" s="13">
        <v>17857.25</v>
      </c>
      <c r="C1098" s="13">
        <v>18187.650000000001</v>
      </c>
      <c r="D1098" s="13">
        <v>18190.7</v>
      </c>
      <c r="E1098" s="13">
        <v>17799.45</v>
      </c>
      <c r="F1098" t="s">
        <v>230</v>
      </c>
      <c r="G1098" s="4">
        <v>-1.9400000000000001E-2</v>
      </c>
    </row>
    <row r="1099" spans="1:7" x14ac:dyDescent="0.3">
      <c r="A1099" s="25">
        <v>44496</v>
      </c>
      <c r="B1099" s="13">
        <v>18210.95</v>
      </c>
      <c r="C1099" s="13">
        <v>18295.849999999999</v>
      </c>
      <c r="D1099" s="13">
        <v>18342.05</v>
      </c>
      <c r="E1099" s="13">
        <v>18167.900000000001</v>
      </c>
      <c r="F1099" t="s">
        <v>229</v>
      </c>
      <c r="G1099" s="4">
        <v>-3.0999999999999999E-3</v>
      </c>
    </row>
    <row r="1100" spans="1:7" x14ac:dyDescent="0.3">
      <c r="A1100" s="25">
        <v>44495</v>
      </c>
      <c r="B1100" s="13">
        <v>18268.400000000001</v>
      </c>
      <c r="C1100" s="13">
        <v>18154.5</v>
      </c>
      <c r="D1100" s="13">
        <v>18310.45</v>
      </c>
      <c r="E1100" s="13">
        <v>18099.3</v>
      </c>
      <c r="F1100" t="s">
        <v>228</v>
      </c>
      <c r="G1100" s="4">
        <v>7.9000000000000008E-3</v>
      </c>
    </row>
    <row r="1101" spans="1:7" x14ac:dyDescent="0.3">
      <c r="A1101" s="25">
        <v>44494</v>
      </c>
      <c r="B1101" s="13">
        <v>18125.400000000001</v>
      </c>
      <c r="C1101" s="13">
        <v>18229.5</v>
      </c>
      <c r="D1101" s="13">
        <v>18241.400000000001</v>
      </c>
      <c r="E1101" s="13">
        <v>17968.5</v>
      </c>
      <c r="F1101" t="s">
        <v>227</v>
      </c>
      <c r="G1101" s="4">
        <v>5.9999999999999995E-4</v>
      </c>
    </row>
    <row r="1102" spans="1:7" x14ac:dyDescent="0.3">
      <c r="A1102" s="25">
        <v>44491</v>
      </c>
      <c r="B1102" s="13">
        <v>18114.900000000001</v>
      </c>
      <c r="C1102" s="13">
        <v>18230.7</v>
      </c>
      <c r="D1102" s="13">
        <v>18314.25</v>
      </c>
      <c r="E1102" s="13">
        <v>18034.349999999999</v>
      </c>
      <c r="F1102" t="s">
        <v>226</v>
      </c>
      <c r="G1102" s="4">
        <v>-3.5000000000000001E-3</v>
      </c>
    </row>
    <row r="1103" spans="1:7" x14ac:dyDescent="0.3">
      <c r="A1103" s="25">
        <v>44490</v>
      </c>
      <c r="B1103" s="13">
        <v>18178.099999999999</v>
      </c>
      <c r="C1103" s="13">
        <v>18382.7</v>
      </c>
      <c r="D1103" s="13">
        <v>18384.2</v>
      </c>
      <c r="E1103" s="13">
        <v>18048</v>
      </c>
      <c r="F1103" t="s">
        <v>225</v>
      </c>
      <c r="G1103" s="4">
        <v>-4.7999999999999996E-3</v>
      </c>
    </row>
    <row r="1104" spans="1:7" x14ac:dyDescent="0.3">
      <c r="A1104" s="25">
        <v>44489</v>
      </c>
      <c r="B1104" s="13">
        <v>18266.599999999999</v>
      </c>
      <c r="C1104" s="13">
        <v>18439.900000000001</v>
      </c>
      <c r="D1104" s="13">
        <v>18458.3</v>
      </c>
      <c r="E1104" s="13">
        <v>18209.349999999999</v>
      </c>
      <c r="F1104" t="s">
        <v>224</v>
      </c>
      <c r="G1104" s="4">
        <v>-8.3000000000000001E-3</v>
      </c>
    </row>
    <row r="1105" spans="1:7" x14ac:dyDescent="0.3">
      <c r="A1105" s="25">
        <v>44488</v>
      </c>
      <c r="B1105" s="13">
        <v>18418.75</v>
      </c>
      <c r="C1105" s="13">
        <v>18602.349999999999</v>
      </c>
      <c r="D1105" s="13">
        <v>18604.45</v>
      </c>
      <c r="E1105" s="13">
        <v>18377.7</v>
      </c>
      <c r="F1105" t="s">
        <v>223</v>
      </c>
      <c r="G1105" s="4">
        <v>-3.2000000000000002E-3</v>
      </c>
    </row>
    <row r="1106" spans="1:7" x14ac:dyDescent="0.3">
      <c r="A1106" s="25">
        <v>44487</v>
      </c>
      <c r="B1106" s="13">
        <v>18477.05</v>
      </c>
      <c r="C1106" s="13">
        <v>18500.099999999999</v>
      </c>
      <c r="D1106" s="13">
        <v>18543.150000000001</v>
      </c>
      <c r="E1106" s="13">
        <v>18445.3</v>
      </c>
      <c r="F1106" t="s">
        <v>222</v>
      </c>
      <c r="G1106" s="4">
        <v>7.6E-3</v>
      </c>
    </row>
    <row r="1107" spans="1:7" x14ac:dyDescent="0.3">
      <c r="A1107" s="25">
        <v>44483</v>
      </c>
      <c r="B1107" s="13">
        <v>18338.55</v>
      </c>
      <c r="C1107" s="13">
        <v>18272.849999999999</v>
      </c>
      <c r="D1107" s="13">
        <v>18350.75</v>
      </c>
      <c r="E1107" s="13">
        <v>18248.7</v>
      </c>
      <c r="F1107" t="s">
        <v>221</v>
      </c>
      <c r="G1107" s="4">
        <v>9.7000000000000003E-3</v>
      </c>
    </row>
    <row r="1108" spans="1:7" x14ac:dyDescent="0.3">
      <c r="A1108" s="25">
        <v>44482</v>
      </c>
      <c r="B1108" s="13">
        <v>18161.75</v>
      </c>
      <c r="C1108" s="13">
        <v>18097.849999999999</v>
      </c>
      <c r="D1108" s="13">
        <v>18197.8</v>
      </c>
      <c r="E1108" s="13">
        <v>18050.75</v>
      </c>
      <c r="F1108" t="s">
        <v>220</v>
      </c>
      <c r="G1108" s="4">
        <v>9.4000000000000004E-3</v>
      </c>
    </row>
    <row r="1109" spans="1:7" x14ac:dyDescent="0.3">
      <c r="A1109" s="25">
        <v>44481</v>
      </c>
      <c r="B1109" s="13">
        <v>17991.95</v>
      </c>
      <c r="C1109" s="13">
        <v>17915.8</v>
      </c>
      <c r="D1109" s="13">
        <v>18008.650000000001</v>
      </c>
      <c r="E1109" s="13">
        <v>17864.95</v>
      </c>
      <c r="F1109" t="s">
        <v>219</v>
      </c>
      <c r="G1109" s="4">
        <v>2.5999999999999999E-3</v>
      </c>
    </row>
    <row r="1110" spans="1:7" x14ac:dyDescent="0.3">
      <c r="A1110" s="25">
        <v>44480</v>
      </c>
      <c r="B1110" s="13">
        <v>17945.95</v>
      </c>
      <c r="C1110" s="13">
        <v>17867.55</v>
      </c>
      <c r="D1110" s="13">
        <v>18041.95</v>
      </c>
      <c r="E1110" s="13">
        <v>17839.099999999999</v>
      </c>
      <c r="F1110" t="s">
        <v>218</v>
      </c>
      <c r="G1110" s="4">
        <v>2.8E-3</v>
      </c>
    </row>
    <row r="1111" spans="1:7" x14ac:dyDescent="0.3">
      <c r="A1111" s="25">
        <v>44477</v>
      </c>
      <c r="B1111" s="13">
        <v>17895.2</v>
      </c>
      <c r="C1111" s="13">
        <v>17886.849999999999</v>
      </c>
      <c r="D1111" s="13">
        <v>17941.849999999999</v>
      </c>
      <c r="E1111" s="13">
        <v>17840.349999999999</v>
      </c>
      <c r="F1111" t="s">
        <v>217</v>
      </c>
      <c r="G1111" s="4">
        <v>5.8999999999999999E-3</v>
      </c>
    </row>
    <row r="1112" spans="1:7" x14ac:dyDescent="0.3">
      <c r="A1112" s="25">
        <v>44476</v>
      </c>
      <c r="B1112" s="13">
        <v>17790.349999999999</v>
      </c>
      <c r="C1112" s="13">
        <v>17810.55</v>
      </c>
      <c r="D1112" s="13">
        <v>17857.55</v>
      </c>
      <c r="E1112" s="13">
        <v>17763.8</v>
      </c>
      <c r="F1112" t="s">
        <v>216</v>
      </c>
      <c r="G1112" s="4">
        <v>8.2000000000000007E-3</v>
      </c>
    </row>
    <row r="1113" spans="1:7" x14ac:dyDescent="0.3">
      <c r="A1113" s="25">
        <v>44475</v>
      </c>
      <c r="B1113" s="13">
        <v>17646</v>
      </c>
      <c r="C1113" s="13">
        <v>17861.5</v>
      </c>
      <c r="D1113" s="13">
        <v>17884.599999999999</v>
      </c>
      <c r="E1113" s="13">
        <v>17613.150000000001</v>
      </c>
      <c r="F1113" t="s">
        <v>215</v>
      </c>
      <c r="G1113" s="4">
        <v>-9.9000000000000008E-3</v>
      </c>
    </row>
    <row r="1114" spans="1:7" x14ac:dyDescent="0.3">
      <c r="A1114" s="25">
        <v>44474</v>
      </c>
      <c r="B1114" s="13">
        <v>17822.3</v>
      </c>
      <c r="C1114" s="13">
        <v>17661.349999999999</v>
      </c>
      <c r="D1114" s="13">
        <v>17833.45</v>
      </c>
      <c r="E1114" s="13">
        <v>17640.900000000001</v>
      </c>
      <c r="F1114" t="s">
        <v>214</v>
      </c>
      <c r="G1114" s="4">
        <v>7.4000000000000003E-3</v>
      </c>
    </row>
    <row r="1115" spans="1:7" x14ac:dyDescent="0.3">
      <c r="A1115" s="25">
        <v>44473</v>
      </c>
      <c r="B1115" s="13">
        <v>17691.25</v>
      </c>
      <c r="C1115" s="13">
        <v>17615.55</v>
      </c>
      <c r="D1115" s="13">
        <v>17750.900000000001</v>
      </c>
      <c r="E1115" s="13">
        <v>17581.349999999999</v>
      </c>
      <c r="F1115" t="s">
        <v>213</v>
      </c>
      <c r="G1115" s="4">
        <v>9.1000000000000004E-3</v>
      </c>
    </row>
    <row r="1116" spans="1:7" x14ac:dyDescent="0.3">
      <c r="A1116" s="25">
        <v>44470</v>
      </c>
      <c r="B1116" s="13">
        <v>17532.05</v>
      </c>
      <c r="C1116" s="13">
        <v>17531.900000000001</v>
      </c>
      <c r="D1116" s="13">
        <v>17557.150000000001</v>
      </c>
      <c r="E1116" s="13">
        <v>17452.900000000001</v>
      </c>
      <c r="F1116" t="s">
        <v>212</v>
      </c>
      <c r="G1116" s="4">
        <v>-4.8999999999999998E-3</v>
      </c>
    </row>
    <row r="1117" spans="1:7" x14ac:dyDescent="0.3">
      <c r="A1117" s="25">
        <v>44469</v>
      </c>
      <c r="B1117" s="13">
        <v>17618.150000000001</v>
      </c>
      <c r="C1117" s="13">
        <v>17718.900000000001</v>
      </c>
      <c r="D1117" s="13">
        <v>17742.150000000001</v>
      </c>
      <c r="E1117" s="13">
        <v>17585.349999999999</v>
      </c>
      <c r="F1117" t="s">
        <v>211</v>
      </c>
      <c r="G1117" s="4">
        <v>-5.3E-3</v>
      </c>
    </row>
    <row r="1118" spans="1:7" x14ac:dyDescent="0.3">
      <c r="A1118" s="25">
        <v>44468</v>
      </c>
      <c r="B1118" s="13">
        <v>17711.3</v>
      </c>
      <c r="C1118" s="13">
        <v>17657.95</v>
      </c>
      <c r="D1118" s="13">
        <v>17781.75</v>
      </c>
      <c r="E1118" s="13">
        <v>17608.150000000001</v>
      </c>
      <c r="F1118" t="s">
        <v>210</v>
      </c>
      <c r="G1118" s="4">
        <v>-2.0999999999999999E-3</v>
      </c>
    </row>
    <row r="1119" spans="1:7" x14ac:dyDescent="0.3">
      <c r="A1119" s="25">
        <v>44467</v>
      </c>
      <c r="B1119" s="13">
        <v>17748.599999999999</v>
      </c>
      <c r="C1119" s="13">
        <v>17906.45</v>
      </c>
      <c r="D1119" s="13">
        <v>17912.849999999999</v>
      </c>
      <c r="E1119" s="13">
        <v>17576.099999999999</v>
      </c>
      <c r="F1119" t="s">
        <v>209</v>
      </c>
      <c r="G1119" s="4">
        <v>-6.0000000000000001E-3</v>
      </c>
    </row>
    <row r="1120" spans="1:7" x14ac:dyDescent="0.3">
      <c r="A1120" s="25">
        <v>44466</v>
      </c>
      <c r="B1120" s="13">
        <v>17855.099999999999</v>
      </c>
      <c r="C1120" s="13">
        <v>17932.2</v>
      </c>
      <c r="D1120" s="13">
        <v>17943.5</v>
      </c>
      <c r="E1120" s="13">
        <v>17802.900000000001</v>
      </c>
      <c r="F1120" t="s">
        <v>208</v>
      </c>
      <c r="G1120" s="4">
        <v>1E-4</v>
      </c>
    </row>
    <row r="1121" spans="1:7" x14ac:dyDescent="0.3">
      <c r="A1121" s="25">
        <v>44463</v>
      </c>
      <c r="B1121" s="13">
        <v>17853.2</v>
      </c>
      <c r="C1121" s="13">
        <v>17897.45</v>
      </c>
      <c r="D1121" s="13">
        <v>17947.650000000001</v>
      </c>
      <c r="E1121" s="13">
        <v>17819.400000000001</v>
      </c>
      <c r="F1121" t="s">
        <v>207</v>
      </c>
      <c r="G1121" s="4">
        <v>1.6999999999999999E-3</v>
      </c>
    </row>
    <row r="1122" spans="1:7" x14ac:dyDescent="0.3">
      <c r="A1122" s="25">
        <v>44462</v>
      </c>
      <c r="B1122" s="13">
        <v>17822.95</v>
      </c>
      <c r="C1122" s="13">
        <v>17670.849999999999</v>
      </c>
      <c r="D1122" s="13">
        <v>17843.900000000001</v>
      </c>
      <c r="E1122" s="13">
        <v>17646.55</v>
      </c>
      <c r="F1122" t="s">
        <v>206</v>
      </c>
      <c r="G1122" s="4">
        <v>1.5699999999999999E-2</v>
      </c>
    </row>
    <row r="1123" spans="1:7" x14ac:dyDescent="0.3">
      <c r="A1123" s="25">
        <v>44461</v>
      </c>
      <c r="B1123" s="13">
        <v>17546.650000000001</v>
      </c>
      <c r="C1123" s="13">
        <v>17580.900000000001</v>
      </c>
      <c r="D1123" s="13">
        <v>17610.45</v>
      </c>
      <c r="E1123" s="13">
        <v>17524</v>
      </c>
      <c r="F1123" t="s">
        <v>205</v>
      </c>
      <c r="G1123" s="4">
        <v>-8.9999999999999998E-4</v>
      </c>
    </row>
    <row r="1124" spans="1:7" x14ac:dyDescent="0.3">
      <c r="A1124" s="25">
        <v>44460</v>
      </c>
      <c r="B1124" s="13">
        <v>17562</v>
      </c>
      <c r="C1124" s="13">
        <v>17450.5</v>
      </c>
      <c r="D1124" s="13">
        <v>17578.349999999999</v>
      </c>
      <c r="E1124" s="13">
        <v>17326.099999999999</v>
      </c>
      <c r="F1124" t="s">
        <v>204</v>
      </c>
      <c r="G1124" s="4">
        <v>9.4999999999999998E-3</v>
      </c>
    </row>
    <row r="1125" spans="1:7" x14ac:dyDescent="0.3">
      <c r="A1125" s="25">
        <v>44459</v>
      </c>
      <c r="B1125" s="13">
        <v>17396.900000000001</v>
      </c>
      <c r="C1125" s="13">
        <v>17443.849999999999</v>
      </c>
      <c r="D1125" s="13">
        <v>17622.75</v>
      </c>
      <c r="E1125" s="13">
        <v>17361.8</v>
      </c>
      <c r="F1125" t="s">
        <v>203</v>
      </c>
      <c r="G1125" s="4">
        <v>-1.0699999999999999E-2</v>
      </c>
    </row>
    <row r="1126" spans="1:7" x14ac:dyDescent="0.3">
      <c r="A1126" s="25">
        <v>44456</v>
      </c>
      <c r="B1126" s="13">
        <v>17585.150000000001</v>
      </c>
      <c r="C1126" s="13">
        <v>17709.650000000001</v>
      </c>
      <c r="D1126" s="13">
        <v>17792.95</v>
      </c>
      <c r="E1126" s="13">
        <v>17537.650000000001</v>
      </c>
      <c r="F1126" t="s">
        <v>202</v>
      </c>
      <c r="G1126" s="4">
        <v>-2.5000000000000001E-3</v>
      </c>
    </row>
    <row r="1127" spans="1:7" x14ac:dyDescent="0.3">
      <c r="A1127" s="25">
        <v>44455</v>
      </c>
      <c r="B1127" s="13">
        <v>17629.5</v>
      </c>
      <c r="C1127" s="13">
        <v>17539.2</v>
      </c>
      <c r="D1127" s="13">
        <v>17644.599999999999</v>
      </c>
      <c r="E1127" s="13">
        <v>17510.45</v>
      </c>
      <c r="F1127" t="s">
        <v>201</v>
      </c>
      <c r="G1127" s="4">
        <v>6.3E-3</v>
      </c>
    </row>
    <row r="1128" spans="1:7" x14ac:dyDescent="0.3">
      <c r="A1128" s="25">
        <v>44454</v>
      </c>
      <c r="B1128" s="13">
        <v>17519.45</v>
      </c>
      <c r="C1128" s="13">
        <v>17387.650000000001</v>
      </c>
      <c r="D1128" s="13">
        <v>17532.7</v>
      </c>
      <c r="E1128" s="13">
        <v>17386.900000000001</v>
      </c>
      <c r="F1128" t="s">
        <v>200</v>
      </c>
      <c r="G1128" s="4">
        <v>8.0000000000000002E-3</v>
      </c>
    </row>
    <row r="1129" spans="1:7" x14ac:dyDescent="0.3">
      <c r="A1129" s="25">
        <v>44453</v>
      </c>
      <c r="B1129" s="13">
        <v>17380</v>
      </c>
      <c r="C1129" s="13">
        <v>17420.349999999999</v>
      </c>
      <c r="D1129" s="13">
        <v>17438.55</v>
      </c>
      <c r="E1129" s="13">
        <v>17367.05</v>
      </c>
      <c r="F1129" t="s">
        <v>199</v>
      </c>
      <c r="G1129" s="4">
        <v>1.4E-3</v>
      </c>
    </row>
    <row r="1130" spans="1:7" x14ac:dyDescent="0.3">
      <c r="A1130" s="25">
        <v>44452</v>
      </c>
      <c r="B1130" s="13">
        <v>17355.3</v>
      </c>
      <c r="C1130" s="13">
        <v>17363.55</v>
      </c>
      <c r="D1130" s="13">
        <v>17378.349999999999</v>
      </c>
      <c r="E1130" s="13">
        <v>17269.150000000001</v>
      </c>
      <c r="F1130" t="s">
        <v>198</v>
      </c>
      <c r="G1130" s="4">
        <v>-8.0000000000000004E-4</v>
      </c>
    </row>
    <row r="1131" spans="1:7" x14ac:dyDescent="0.3">
      <c r="A1131" s="25">
        <v>44448</v>
      </c>
      <c r="B1131" s="13">
        <v>17369.25</v>
      </c>
      <c r="C1131" s="13">
        <v>17312.849999999999</v>
      </c>
      <c r="D1131" s="13">
        <v>17379.650000000001</v>
      </c>
      <c r="E1131" s="13">
        <v>17302.7</v>
      </c>
      <c r="F1131" t="s">
        <v>197</v>
      </c>
      <c r="G1131" s="4">
        <v>8.9999999999999998E-4</v>
      </c>
    </row>
    <row r="1132" spans="1:7" x14ac:dyDescent="0.3">
      <c r="A1132" s="25">
        <v>44447</v>
      </c>
      <c r="B1132" s="13">
        <v>17353.5</v>
      </c>
      <c r="C1132" s="13">
        <v>17375.75</v>
      </c>
      <c r="D1132" s="13">
        <v>17383.400000000001</v>
      </c>
      <c r="E1132" s="13">
        <v>17254.2</v>
      </c>
      <c r="F1132" t="s">
        <v>196</v>
      </c>
      <c r="G1132" s="4">
        <v>-5.0000000000000001E-4</v>
      </c>
    </row>
    <row r="1133" spans="1:7" x14ac:dyDescent="0.3">
      <c r="A1133" s="25">
        <v>44446</v>
      </c>
      <c r="B1133" s="13">
        <v>17362.099999999999</v>
      </c>
      <c r="C1133" s="13">
        <v>17401.55</v>
      </c>
      <c r="D1133" s="13">
        <v>17436.5</v>
      </c>
      <c r="E1133" s="13">
        <v>17287</v>
      </c>
      <c r="F1133" t="s">
        <v>195</v>
      </c>
      <c r="G1133" s="4">
        <v>-8.9999999999999998E-4</v>
      </c>
    </row>
    <row r="1134" spans="1:7" x14ac:dyDescent="0.3">
      <c r="A1134" s="25">
        <v>44445</v>
      </c>
      <c r="B1134" s="13">
        <v>17377.8</v>
      </c>
      <c r="C1134" s="13">
        <v>17399.349999999999</v>
      </c>
      <c r="D1134" s="13">
        <v>17429.55</v>
      </c>
      <c r="E1134" s="13">
        <v>17345.55</v>
      </c>
      <c r="F1134" t="s">
        <v>194</v>
      </c>
      <c r="G1134" s="4">
        <v>3.0999999999999999E-3</v>
      </c>
    </row>
    <row r="1135" spans="1:7" x14ac:dyDescent="0.3">
      <c r="A1135" s="25">
        <v>44442</v>
      </c>
      <c r="B1135" s="13">
        <v>17323.599999999999</v>
      </c>
      <c r="C1135" s="13">
        <v>17262.45</v>
      </c>
      <c r="D1135" s="13">
        <v>17340.099999999999</v>
      </c>
      <c r="E1135" s="13">
        <v>17212.2</v>
      </c>
      <c r="F1135" t="s">
        <v>193</v>
      </c>
      <c r="G1135" s="4">
        <v>5.1999999999999998E-3</v>
      </c>
    </row>
    <row r="1136" spans="1:7" x14ac:dyDescent="0.3">
      <c r="A1136" s="25">
        <v>44441</v>
      </c>
      <c r="B1136" s="13">
        <v>17234.150000000001</v>
      </c>
      <c r="C1136" s="13">
        <v>17095.400000000001</v>
      </c>
      <c r="D1136" s="13">
        <v>17245.5</v>
      </c>
      <c r="E1136" s="13">
        <v>17059.7</v>
      </c>
      <c r="F1136" t="s">
        <v>192</v>
      </c>
      <c r="G1136" s="4">
        <v>9.1999999999999998E-3</v>
      </c>
    </row>
    <row r="1137" spans="1:7" x14ac:dyDescent="0.3">
      <c r="A1137" s="25">
        <v>44440</v>
      </c>
      <c r="B1137" s="13">
        <v>17076.25</v>
      </c>
      <c r="C1137" s="13">
        <v>17185.599999999999</v>
      </c>
      <c r="D1137" s="13">
        <v>17225.75</v>
      </c>
      <c r="E1137" s="13">
        <v>17055.05</v>
      </c>
      <c r="F1137" t="s">
        <v>191</v>
      </c>
      <c r="G1137" s="4">
        <v>-3.3E-3</v>
      </c>
    </row>
    <row r="1138" spans="1:7" x14ac:dyDescent="0.3">
      <c r="A1138" s="25">
        <v>44439</v>
      </c>
      <c r="B1138" s="13">
        <v>17132.2</v>
      </c>
      <c r="C1138" s="13">
        <v>16947.5</v>
      </c>
      <c r="D1138" s="13">
        <v>17153.5</v>
      </c>
      <c r="E1138" s="13">
        <v>16915.849999999999</v>
      </c>
      <c r="F1138" t="s">
        <v>190</v>
      </c>
      <c r="G1138" s="4">
        <v>1.1900000000000001E-2</v>
      </c>
    </row>
    <row r="1139" spans="1:7" x14ac:dyDescent="0.3">
      <c r="A1139" s="25">
        <v>44438</v>
      </c>
      <c r="B1139" s="13">
        <v>16931.05</v>
      </c>
      <c r="C1139" s="13">
        <v>16775.849999999999</v>
      </c>
      <c r="D1139" s="13">
        <v>16951.5</v>
      </c>
      <c r="E1139" s="13">
        <v>16764.849999999999</v>
      </c>
      <c r="F1139" t="s">
        <v>189</v>
      </c>
      <c r="G1139" s="4">
        <v>1.35E-2</v>
      </c>
    </row>
    <row r="1140" spans="1:7" x14ac:dyDescent="0.3">
      <c r="A1140" s="25">
        <v>44435</v>
      </c>
      <c r="B1140" s="13">
        <v>16705.2</v>
      </c>
      <c r="C1140" s="13">
        <v>16642.55</v>
      </c>
      <c r="D1140" s="13">
        <v>16722.05</v>
      </c>
      <c r="E1140" s="13">
        <v>16565.599999999999</v>
      </c>
      <c r="F1140" t="s">
        <v>188</v>
      </c>
      <c r="G1140" s="4">
        <v>4.1000000000000003E-3</v>
      </c>
    </row>
    <row r="1141" spans="1:7" x14ac:dyDescent="0.3">
      <c r="A1141" s="25">
        <v>44434</v>
      </c>
      <c r="B1141" s="13">
        <v>16636.900000000001</v>
      </c>
      <c r="C1141" s="13">
        <v>16627.95</v>
      </c>
      <c r="D1141" s="13">
        <v>16683.7</v>
      </c>
      <c r="E1141" s="13">
        <v>16603.400000000001</v>
      </c>
      <c r="F1141" t="s">
        <v>187</v>
      </c>
      <c r="G1141" s="4">
        <v>1E-4</v>
      </c>
    </row>
    <row r="1142" spans="1:7" x14ac:dyDescent="0.3">
      <c r="A1142" s="25">
        <v>44433</v>
      </c>
      <c r="B1142" s="13">
        <v>16634.650000000001</v>
      </c>
      <c r="C1142" s="13">
        <v>16654</v>
      </c>
      <c r="D1142" s="13">
        <v>16712.45</v>
      </c>
      <c r="E1142" s="13">
        <v>16617.5</v>
      </c>
      <c r="F1142" t="s">
        <v>186</v>
      </c>
      <c r="G1142" s="4">
        <v>5.9999999999999995E-4</v>
      </c>
    </row>
    <row r="1143" spans="1:7" x14ac:dyDescent="0.3">
      <c r="A1143" s="25">
        <v>44432</v>
      </c>
      <c r="B1143" s="13">
        <v>16624.599999999999</v>
      </c>
      <c r="C1143" s="13">
        <v>16561.400000000001</v>
      </c>
      <c r="D1143" s="13">
        <v>16647.099999999999</v>
      </c>
      <c r="E1143" s="13">
        <v>16495.3</v>
      </c>
      <c r="F1143" t="s">
        <v>185</v>
      </c>
      <c r="G1143" s="4">
        <v>7.7999999999999996E-3</v>
      </c>
    </row>
    <row r="1144" spans="1:7" x14ac:dyDescent="0.3">
      <c r="A1144" s="25">
        <v>44431</v>
      </c>
      <c r="B1144" s="13">
        <v>16496.45</v>
      </c>
      <c r="C1144" s="13">
        <v>16592.25</v>
      </c>
      <c r="D1144" s="13">
        <v>16592.5</v>
      </c>
      <c r="E1144" s="13">
        <v>16395.7</v>
      </c>
      <c r="F1144" t="s">
        <v>184</v>
      </c>
      <c r="G1144" s="4">
        <v>2.8E-3</v>
      </c>
    </row>
    <row r="1145" spans="1:7" x14ac:dyDescent="0.3">
      <c r="A1145" s="25">
        <v>44428</v>
      </c>
      <c r="B1145" s="13">
        <v>16450.5</v>
      </c>
      <c r="C1145" s="13">
        <v>16382.5</v>
      </c>
      <c r="D1145" s="13">
        <v>16509.55</v>
      </c>
      <c r="E1145" s="13">
        <v>16376.05</v>
      </c>
      <c r="F1145" t="s">
        <v>183</v>
      </c>
      <c r="G1145" s="4">
        <v>-7.1000000000000004E-3</v>
      </c>
    </row>
    <row r="1146" spans="1:7" x14ac:dyDescent="0.3">
      <c r="A1146" s="25">
        <v>44426</v>
      </c>
      <c r="B1146" s="13">
        <v>16568.849999999999</v>
      </c>
      <c r="C1146" s="13">
        <v>16691.95</v>
      </c>
      <c r="D1146" s="13">
        <v>16701.849999999999</v>
      </c>
      <c r="E1146" s="13">
        <v>16535.849999999999</v>
      </c>
      <c r="F1146" t="s">
        <v>182</v>
      </c>
      <c r="G1146" s="4">
        <v>-2.8E-3</v>
      </c>
    </row>
    <row r="1147" spans="1:7" x14ac:dyDescent="0.3">
      <c r="A1147" s="25">
        <v>44425</v>
      </c>
      <c r="B1147" s="13">
        <v>16614.599999999999</v>
      </c>
      <c r="C1147" s="13">
        <v>16545.25</v>
      </c>
      <c r="D1147" s="13">
        <v>16628.55</v>
      </c>
      <c r="E1147" s="13">
        <v>16495.400000000001</v>
      </c>
      <c r="F1147" t="s">
        <v>181</v>
      </c>
      <c r="G1147" s="4">
        <v>3.0999999999999999E-3</v>
      </c>
    </row>
    <row r="1148" spans="1:7" x14ac:dyDescent="0.3">
      <c r="A1148" s="25">
        <v>44424</v>
      </c>
      <c r="B1148" s="13">
        <v>16563.05</v>
      </c>
      <c r="C1148" s="13">
        <v>16518.400000000001</v>
      </c>
      <c r="D1148" s="13">
        <v>16589.400000000001</v>
      </c>
      <c r="E1148" s="13">
        <v>16480.75</v>
      </c>
      <c r="F1148" t="s">
        <v>180</v>
      </c>
      <c r="G1148" s="4">
        <v>2.0999999999999999E-3</v>
      </c>
    </row>
    <row r="1149" spans="1:7" x14ac:dyDescent="0.3">
      <c r="A1149" s="25">
        <v>44421</v>
      </c>
      <c r="B1149" s="13">
        <v>16529.099999999999</v>
      </c>
      <c r="C1149" s="13">
        <v>16385.7</v>
      </c>
      <c r="D1149" s="13">
        <v>16543.599999999999</v>
      </c>
      <c r="E1149" s="13">
        <v>16376.3</v>
      </c>
      <c r="F1149" t="s">
        <v>179</v>
      </c>
      <c r="G1149" s="4">
        <v>1.01E-2</v>
      </c>
    </row>
    <row r="1150" spans="1:7" x14ac:dyDescent="0.3">
      <c r="A1150" s="25">
        <v>44420</v>
      </c>
      <c r="B1150" s="13">
        <v>16364.4</v>
      </c>
      <c r="C1150" s="13">
        <v>16303.65</v>
      </c>
      <c r="D1150" s="13">
        <v>16375.5</v>
      </c>
      <c r="E1150" s="13">
        <v>16286.9</v>
      </c>
      <c r="F1150" t="s">
        <v>178</v>
      </c>
      <c r="G1150" s="4">
        <v>5.0000000000000001E-3</v>
      </c>
    </row>
    <row r="1151" spans="1:7" x14ac:dyDescent="0.3">
      <c r="A1151" s="25">
        <v>44419</v>
      </c>
      <c r="B1151" s="13">
        <v>16282.25</v>
      </c>
      <c r="C1151" s="13">
        <v>16327.3</v>
      </c>
      <c r="D1151" s="13">
        <v>16338.75</v>
      </c>
      <c r="E1151" s="13">
        <v>16162.55</v>
      </c>
      <c r="F1151" t="s">
        <v>177</v>
      </c>
      <c r="G1151" s="4">
        <v>1E-4</v>
      </c>
    </row>
    <row r="1152" spans="1:7" x14ac:dyDescent="0.3">
      <c r="A1152" s="25">
        <v>44418</v>
      </c>
      <c r="B1152" s="13">
        <v>16280.1</v>
      </c>
      <c r="C1152" s="13">
        <v>16274.8</v>
      </c>
      <c r="D1152" s="13">
        <v>16359.25</v>
      </c>
      <c r="E1152" s="13">
        <v>16202.25</v>
      </c>
      <c r="F1152" t="s">
        <v>176</v>
      </c>
      <c r="G1152" s="4">
        <v>1.2999999999999999E-3</v>
      </c>
    </row>
    <row r="1153" spans="1:7" x14ac:dyDescent="0.3">
      <c r="A1153" s="25">
        <v>44417</v>
      </c>
      <c r="B1153" s="13">
        <v>16258.25</v>
      </c>
      <c r="C1153" s="13">
        <v>16281.35</v>
      </c>
      <c r="D1153" s="13">
        <v>16320.75</v>
      </c>
      <c r="E1153" s="13">
        <v>16179.05</v>
      </c>
      <c r="F1153" t="s">
        <v>175</v>
      </c>
      <c r="G1153" s="4">
        <v>1.1999999999999999E-3</v>
      </c>
    </row>
    <row r="1154" spans="1:7" x14ac:dyDescent="0.3">
      <c r="A1154" s="25">
        <v>44414</v>
      </c>
      <c r="B1154" s="13">
        <v>16238.2</v>
      </c>
      <c r="C1154" s="13">
        <v>16304.4</v>
      </c>
      <c r="D1154" s="13">
        <v>16336.75</v>
      </c>
      <c r="E1154" s="13">
        <v>16223.3</v>
      </c>
      <c r="F1154" t="s">
        <v>174</v>
      </c>
      <c r="G1154" s="4">
        <v>-3.5000000000000001E-3</v>
      </c>
    </row>
    <row r="1155" spans="1:7" x14ac:dyDescent="0.3">
      <c r="A1155" s="25">
        <v>44413</v>
      </c>
      <c r="B1155" s="13">
        <v>16294.6</v>
      </c>
      <c r="C1155" s="13">
        <v>16288.95</v>
      </c>
      <c r="D1155" s="13">
        <v>16349.45</v>
      </c>
      <c r="E1155" s="13">
        <v>16210.3</v>
      </c>
      <c r="F1155" t="s">
        <v>173</v>
      </c>
      <c r="G1155" s="4">
        <v>2.2000000000000001E-3</v>
      </c>
    </row>
    <row r="1156" spans="1:7" x14ac:dyDescent="0.3">
      <c r="A1156" s="25">
        <v>44412</v>
      </c>
      <c r="B1156" s="13">
        <v>16258.8</v>
      </c>
      <c r="C1156" s="13">
        <v>16195.25</v>
      </c>
      <c r="D1156" s="13">
        <v>16290.2</v>
      </c>
      <c r="E1156" s="13">
        <v>16176.15</v>
      </c>
      <c r="F1156" t="s">
        <v>172</v>
      </c>
      <c r="G1156" s="4">
        <v>7.9000000000000008E-3</v>
      </c>
    </row>
    <row r="1157" spans="1:7" x14ac:dyDescent="0.3">
      <c r="A1157" s="25">
        <v>44411</v>
      </c>
      <c r="B1157" s="13">
        <v>16130.75</v>
      </c>
      <c r="C1157" s="13">
        <v>15951.55</v>
      </c>
      <c r="D1157" s="13">
        <v>16146.9</v>
      </c>
      <c r="E1157" s="13">
        <v>15914.35</v>
      </c>
      <c r="F1157" t="s">
        <v>171</v>
      </c>
      <c r="G1157" s="4">
        <v>1.55E-2</v>
      </c>
    </row>
    <row r="1158" spans="1:7" x14ac:dyDescent="0.3">
      <c r="A1158" s="25">
        <v>44410</v>
      </c>
      <c r="B1158" s="13">
        <v>15885.15</v>
      </c>
      <c r="C1158" s="13">
        <v>15874.9</v>
      </c>
      <c r="D1158" s="13">
        <v>15892.9</v>
      </c>
      <c r="E1158" s="13">
        <v>15834.65</v>
      </c>
      <c r="F1158" t="s">
        <v>170</v>
      </c>
      <c r="G1158" s="4">
        <v>7.7000000000000002E-3</v>
      </c>
    </row>
    <row r="1159" spans="1:7" x14ac:dyDescent="0.3">
      <c r="A1159" s="25">
        <v>44407</v>
      </c>
      <c r="B1159" s="13">
        <v>15763.05</v>
      </c>
      <c r="C1159" s="13">
        <v>15800.6</v>
      </c>
      <c r="D1159" s="13">
        <v>15862.8</v>
      </c>
      <c r="E1159" s="13">
        <v>15744.85</v>
      </c>
      <c r="F1159" t="s">
        <v>169</v>
      </c>
      <c r="G1159" s="4">
        <v>-1E-3</v>
      </c>
    </row>
    <row r="1160" spans="1:7" x14ac:dyDescent="0.3">
      <c r="A1160" s="25">
        <v>44406</v>
      </c>
      <c r="B1160" s="13">
        <v>15778.45</v>
      </c>
      <c r="C1160" s="13">
        <v>15762.7</v>
      </c>
      <c r="D1160" s="13">
        <v>15817.35</v>
      </c>
      <c r="E1160" s="13">
        <v>15737.8</v>
      </c>
      <c r="F1160" t="s">
        <v>168</v>
      </c>
      <c r="G1160" s="4">
        <v>4.4000000000000003E-3</v>
      </c>
    </row>
    <row r="1161" spans="1:7" x14ac:dyDescent="0.3">
      <c r="A1161" s="25">
        <v>44405</v>
      </c>
      <c r="B1161" s="13">
        <v>15709.4</v>
      </c>
      <c r="C1161" s="13">
        <v>15761.55</v>
      </c>
      <c r="D1161" s="13">
        <v>15767.5</v>
      </c>
      <c r="E1161" s="13">
        <v>15513.45</v>
      </c>
      <c r="F1161" t="s">
        <v>167</v>
      </c>
      <c r="G1161" s="4">
        <v>-2.3999999999999998E-3</v>
      </c>
    </row>
    <row r="1162" spans="1:7" x14ac:dyDescent="0.3">
      <c r="A1162" s="25">
        <v>44404</v>
      </c>
      <c r="B1162" s="13">
        <v>15746.45</v>
      </c>
      <c r="C1162" s="13">
        <v>15860.5</v>
      </c>
      <c r="D1162" s="13">
        <v>15881.55</v>
      </c>
      <c r="E1162" s="13">
        <v>15701</v>
      </c>
      <c r="F1162" t="s">
        <v>166</v>
      </c>
      <c r="G1162" s="4">
        <v>-4.8999999999999998E-3</v>
      </c>
    </row>
    <row r="1163" spans="1:7" x14ac:dyDescent="0.3">
      <c r="A1163" s="25">
        <v>44403</v>
      </c>
      <c r="B1163" s="13">
        <v>15824.45</v>
      </c>
      <c r="C1163" s="13">
        <v>15849.3</v>
      </c>
      <c r="D1163" s="13">
        <v>15893.35</v>
      </c>
      <c r="E1163" s="13">
        <v>15797</v>
      </c>
      <c r="F1163" t="s">
        <v>165</v>
      </c>
      <c r="G1163" s="4">
        <v>-2E-3</v>
      </c>
    </row>
    <row r="1164" spans="1:7" x14ac:dyDescent="0.3">
      <c r="A1164" s="25">
        <v>44400</v>
      </c>
      <c r="B1164" s="13">
        <v>15856.05</v>
      </c>
      <c r="C1164" s="13">
        <v>15856.8</v>
      </c>
      <c r="D1164" s="13">
        <v>15899.8</v>
      </c>
      <c r="E1164" s="13">
        <v>15768.4</v>
      </c>
      <c r="F1164" t="s">
        <v>164</v>
      </c>
      <c r="G1164" s="4">
        <v>2E-3</v>
      </c>
    </row>
    <row r="1165" spans="1:7" x14ac:dyDescent="0.3">
      <c r="A1165" s="25">
        <v>44399</v>
      </c>
      <c r="B1165" s="13">
        <v>15824.05</v>
      </c>
      <c r="C1165" s="13">
        <v>15736.6</v>
      </c>
      <c r="D1165" s="13">
        <v>15834.8</v>
      </c>
      <c r="E1165" s="13">
        <v>15726.4</v>
      </c>
      <c r="F1165" t="s">
        <v>163</v>
      </c>
      <c r="G1165" s="4">
        <v>1.23E-2</v>
      </c>
    </row>
    <row r="1166" spans="1:7" x14ac:dyDescent="0.3">
      <c r="A1166" s="25">
        <v>44397</v>
      </c>
      <c r="B1166" s="13">
        <v>15632.1</v>
      </c>
      <c r="C1166" s="13">
        <v>15703.95</v>
      </c>
      <c r="D1166" s="13">
        <v>15728.45</v>
      </c>
      <c r="E1166" s="13">
        <v>15578.55</v>
      </c>
      <c r="F1166" t="s">
        <v>162</v>
      </c>
      <c r="G1166" s="4">
        <v>-7.6E-3</v>
      </c>
    </row>
    <row r="1167" spans="1:7" x14ac:dyDescent="0.3">
      <c r="A1167" s="25">
        <v>44396</v>
      </c>
      <c r="B1167" s="13">
        <v>15752.4</v>
      </c>
      <c r="C1167" s="13">
        <v>15754.5</v>
      </c>
      <c r="D1167" s="13">
        <v>15836.9</v>
      </c>
      <c r="E1167" s="13">
        <v>15707.5</v>
      </c>
      <c r="F1167" t="s">
        <v>161</v>
      </c>
      <c r="G1167" s="4">
        <v>-1.0699999999999999E-2</v>
      </c>
    </row>
    <row r="1168" spans="1:7" x14ac:dyDescent="0.3">
      <c r="A1168" s="25">
        <v>44393</v>
      </c>
      <c r="B1168" s="13">
        <v>15923.4</v>
      </c>
      <c r="C1168" s="13">
        <v>15958.35</v>
      </c>
      <c r="D1168" s="13">
        <v>15962.25</v>
      </c>
      <c r="E1168" s="13">
        <v>15882.6</v>
      </c>
      <c r="F1168" t="s">
        <v>160</v>
      </c>
      <c r="G1168" s="4">
        <v>-1E-4</v>
      </c>
    </row>
    <row r="1169" spans="1:7" x14ac:dyDescent="0.3">
      <c r="A1169" s="25">
        <v>44392</v>
      </c>
      <c r="B1169" s="13">
        <v>15924.2</v>
      </c>
      <c r="C1169" s="13">
        <v>15872.15</v>
      </c>
      <c r="D1169" s="13">
        <v>15952.35</v>
      </c>
      <c r="E1169" s="13">
        <v>15855</v>
      </c>
      <c r="F1169" t="s">
        <v>159</v>
      </c>
      <c r="G1169" s="4">
        <v>4.4000000000000003E-3</v>
      </c>
    </row>
    <row r="1170" spans="1:7" x14ac:dyDescent="0.3">
      <c r="A1170" s="25">
        <v>44391</v>
      </c>
      <c r="B1170" s="13">
        <v>15853.95</v>
      </c>
      <c r="C1170" s="13">
        <v>15808.7</v>
      </c>
      <c r="D1170" s="13">
        <v>15877.35</v>
      </c>
      <c r="E1170" s="13">
        <v>15764.2</v>
      </c>
      <c r="F1170" t="s">
        <v>158</v>
      </c>
      <c r="G1170" s="4">
        <v>2.5999999999999999E-3</v>
      </c>
    </row>
    <row r="1171" spans="1:7" x14ac:dyDescent="0.3">
      <c r="A1171" s="25">
        <v>44390</v>
      </c>
      <c r="B1171" s="13">
        <v>15812.35</v>
      </c>
      <c r="C1171" s="13">
        <v>15794</v>
      </c>
      <c r="D1171" s="13">
        <v>15820.8</v>
      </c>
      <c r="E1171" s="13">
        <v>15744.6</v>
      </c>
      <c r="F1171" t="s">
        <v>157</v>
      </c>
      <c r="G1171" s="4">
        <v>7.6E-3</v>
      </c>
    </row>
    <row r="1172" spans="1:7" x14ac:dyDescent="0.3">
      <c r="A1172" s="25">
        <v>44389</v>
      </c>
      <c r="B1172" s="13">
        <v>15692.6</v>
      </c>
      <c r="C1172" s="13">
        <v>15766.8</v>
      </c>
      <c r="D1172" s="13">
        <v>15789.2</v>
      </c>
      <c r="E1172" s="13">
        <v>15644.75</v>
      </c>
      <c r="F1172" t="s">
        <v>156</v>
      </c>
      <c r="G1172" s="4">
        <v>2.0000000000000001E-4</v>
      </c>
    </row>
    <row r="1173" spans="1:7" x14ac:dyDescent="0.3">
      <c r="A1173" s="25">
        <v>44386</v>
      </c>
      <c r="B1173" s="13">
        <v>15689.8</v>
      </c>
      <c r="C1173" s="13">
        <v>15688.25</v>
      </c>
      <c r="D1173" s="13">
        <v>15730.85</v>
      </c>
      <c r="E1173" s="13">
        <v>15632.75</v>
      </c>
      <c r="F1173" t="s">
        <v>155</v>
      </c>
      <c r="G1173" s="4">
        <v>-2.3999999999999998E-3</v>
      </c>
    </row>
    <row r="1174" spans="1:7" x14ac:dyDescent="0.3">
      <c r="A1174" s="25">
        <v>44385</v>
      </c>
      <c r="B1174" s="13">
        <v>15727.9</v>
      </c>
      <c r="C1174" s="13">
        <v>15855.4</v>
      </c>
      <c r="D1174" s="13">
        <v>15885.75</v>
      </c>
      <c r="E1174" s="13">
        <v>15682.9</v>
      </c>
      <c r="F1174" t="s">
        <v>154</v>
      </c>
      <c r="G1174" s="4">
        <v>-9.5999999999999992E-3</v>
      </c>
    </row>
    <row r="1175" spans="1:7" x14ac:dyDescent="0.3">
      <c r="A1175" s="25">
        <v>44384</v>
      </c>
      <c r="B1175" s="13">
        <v>15879.65</v>
      </c>
      <c r="C1175" s="13">
        <v>15819.6</v>
      </c>
      <c r="D1175" s="13">
        <v>15893.55</v>
      </c>
      <c r="E1175" s="13">
        <v>15779.7</v>
      </c>
      <c r="F1175" t="s">
        <v>153</v>
      </c>
      <c r="G1175" s="4">
        <v>3.8999999999999998E-3</v>
      </c>
    </row>
    <row r="1176" spans="1:7" x14ac:dyDescent="0.3">
      <c r="A1176" s="25">
        <v>44383</v>
      </c>
      <c r="B1176" s="13">
        <v>15818.25</v>
      </c>
      <c r="C1176" s="13">
        <v>15813.75</v>
      </c>
      <c r="D1176" s="13">
        <v>15914.2</v>
      </c>
      <c r="E1176" s="13">
        <v>15801</v>
      </c>
      <c r="F1176" t="s">
        <v>152</v>
      </c>
      <c r="G1176" s="4">
        <v>-1E-3</v>
      </c>
    </row>
    <row r="1177" spans="1:7" x14ac:dyDescent="0.3">
      <c r="A1177" s="25">
        <v>44382</v>
      </c>
      <c r="B1177" s="13">
        <v>15834.35</v>
      </c>
      <c r="C1177" s="13">
        <v>15793.4</v>
      </c>
      <c r="D1177" s="13">
        <v>15845.95</v>
      </c>
      <c r="E1177" s="13">
        <v>15762.05</v>
      </c>
      <c r="F1177" t="s">
        <v>151</v>
      </c>
      <c r="G1177" s="4">
        <v>7.1000000000000004E-3</v>
      </c>
    </row>
    <row r="1178" spans="1:7" x14ac:dyDescent="0.3">
      <c r="A1178" s="25">
        <v>44379</v>
      </c>
      <c r="B1178" s="13">
        <v>15722.2</v>
      </c>
      <c r="C1178" s="13">
        <v>15705.85</v>
      </c>
      <c r="D1178" s="13">
        <v>15738.35</v>
      </c>
      <c r="E1178" s="13">
        <v>15635.95</v>
      </c>
      <c r="F1178" t="s">
        <v>150</v>
      </c>
      <c r="G1178" s="4">
        <v>2.7000000000000001E-3</v>
      </c>
    </row>
    <row r="1179" spans="1:7" x14ac:dyDescent="0.3">
      <c r="A1179" s="25">
        <v>44378</v>
      </c>
      <c r="B1179" s="13">
        <v>15680</v>
      </c>
      <c r="C1179" s="13">
        <v>15755.05</v>
      </c>
      <c r="D1179" s="13">
        <v>15755.55</v>
      </c>
      <c r="E1179" s="13">
        <v>15667.05</v>
      </c>
      <c r="F1179" t="s">
        <v>149</v>
      </c>
      <c r="G1179" s="4">
        <v>-2.5999999999999999E-3</v>
      </c>
    </row>
    <row r="1180" spans="1:7" x14ac:dyDescent="0.3">
      <c r="A1180" s="25">
        <v>44377</v>
      </c>
      <c r="B1180" s="13">
        <v>15721.5</v>
      </c>
      <c r="C1180" s="13">
        <v>15776.9</v>
      </c>
      <c r="D1180" s="13">
        <v>15839.1</v>
      </c>
      <c r="E1180" s="13">
        <v>15708.75</v>
      </c>
      <c r="F1180" t="s">
        <v>148</v>
      </c>
      <c r="G1180" s="4">
        <v>-1.6999999999999999E-3</v>
      </c>
    </row>
    <row r="1181" spans="1:7" x14ac:dyDescent="0.3">
      <c r="A1181" s="25">
        <v>44376</v>
      </c>
      <c r="B1181" s="13">
        <v>15748.45</v>
      </c>
      <c r="C1181" s="13">
        <v>15807.5</v>
      </c>
      <c r="D1181" s="13">
        <v>15835.9</v>
      </c>
      <c r="E1181" s="13">
        <v>15724.05</v>
      </c>
      <c r="F1181" t="s">
        <v>147</v>
      </c>
      <c r="G1181" s="4">
        <v>-4.1999999999999997E-3</v>
      </c>
    </row>
    <row r="1182" spans="1:7" x14ac:dyDescent="0.3">
      <c r="A1182" s="25">
        <v>44375</v>
      </c>
      <c r="B1182" s="13">
        <v>15814.7</v>
      </c>
      <c r="C1182" s="13">
        <v>15915.35</v>
      </c>
      <c r="D1182" s="13">
        <v>15915.65</v>
      </c>
      <c r="E1182" s="13">
        <v>15792.15</v>
      </c>
      <c r="F1182" t="s">
        <v>146</v>
      </c>
      <c r="G1182" s="4">
        <v>-2.8999999999999998E-3</v>
      </c>
    </row>
    <row r="1183" spans="1:7" x14ac:dyDescent="0.3">
      <c r="A1183" s="25">
        <v>44372</v>
      </c>
      <c r="B1183" s="13">
        <v>15860.35</v>
      </c>
      <c r="C1183" s="13">
        <v>15839.35</v>
      </c>
      <c r="D1183" s="13">
        <v>15870.8</v>
      </c>
      <c r="E1183" s="13">
        <v>15772.3</v>
      </c>
      <c r="F1183" t="s">
        <v>145</v>
      </c>
      <c r="G1183" s="4">
        <v>4.4000000000000003E-3</v>
      </c>
    </row>
    <row r="1184" spans="1:7" x14ac:dyDescent="0.3">
      <c r="A1184" s="25">
        <v>44371</v>
      </c>
      <c r="B1184" s="13">
        <v>15790.45</v>
      </c>
      <c r="C1184" s="13">
        <v>15737.3</v>
      </c>
      <c r="D1184" s="13">
        <v>15821.4</v>
      </c>
      <c r="E1184" s="13">
        <v>15702.7</v>
      </c>
      <c r="F1184" t="s">
        <v>144</v>
      </c>
      <c r="G1184" s="4">
        <v>6.6E-3</v>
      </c>
    </row>
    <row r="1185" spans="1:7" x14ac:dyDescent="0.3">
      <c r="A1185" s="25">
        <v>44370</v>
      </c>
      <c r="B1185" s="13">
        <v>15686.95</v>
      </c>
      <c r="C1185" s="13">
        <v>15862.8</v>
      </c>
      <c r="D1185" s="13">
        <v>15862.95</v>
      </c>
      <c r="E1185" s="13">
        <v>15673.95</v>
      </c>
      <c r="F1185" t="s">
        <v>143</v>
      </c>
      <c r="G1185" s="4">
        <v>-5.4000000000000003E-3</v>
      </c>
    </row>
    <row r="1186" spans="1:7" x14ac:dyDescent="0.3">
      <c r="A1186" s="25">
        <v>44369</v>
      </c>
      <c r="B1186" s="13">
        <v>15772.75</v>
      </c>
      <c r="C1186" s="13">
        <v>15840.5</v>
      </c>
      <c r="D1186" s="13">
        <v>15895.75</v>
      </c>
      <c r="E1186" s="13">
        <v>15752.1</v>
      </c>
      <c r="F1186" t="s">
        <v>142</v>
      </c>
      <c r="G1186" s="4">
        <v>1.6999999999999999E-3</v>
      </c>
    </row>
    <row r="1187" spans="1:7" x14ac:dyDescent="0.3">
      <c r="A1187" s="25">
        <v>44368</v>
      </c>
      <c r="B1187" s="13">
        <v>15746.5</v>
      </c>
      <c r="C1187" s="13">
        <v>15525.85</v>
      </c>
      <c r="D1187" s="13">
        <v>15765.15</v>
      </c>
      <c r="E1187" s="13">
        <v>15505.65</v>
      </c>
      <c r="F1187" t="s">
        <v>141</v>
      </c>
      <c r="G1187" s="4">
        <v>4.0000000000000001E-3</v>
      </c>
    </row>
    <row r="1188" spans="1:7" x14ac:dyDescent="0.3">
      <c r="A1188" s="25">
        <v>44365</v>
      </c>
      <c r="B1188" s="13">
        <v>15683.35</v>
      </c>
      <c r="C1188" s="13">
        <v>15756.5</v>
      </c>
      <c r="D1188" s="13">
        <v>15761.5</v>
      </c>
      <c r="E1188" s="13">
        <v>15450.9</v>
      </c>
      <c r="F1188" t="s">
        <v>140</v>
      </c>
      <c r="G1188" s="4">
        <v>-5.0000000000000001E-4</v>
      </c>
    </row>
    <row r="1189" spans="1:7" x14ac:dyDescent="0.3">
      <c r="A1189" s="25">
        <v>44364</v>
      </c>
      <c r="B1189" s="13">
        <v>15691.4</v>
      </c>
      <c r="C1189" s="13">
        <v>15648.3</v>
      </c>
      <c r="D1189" s="13">
        <v>15769.35</v>
      </c>
      <c r="E1189" s="13">
        <v>15616.75</v>
      </c>
      <c r="F1189" t="s">
        <v>139</v>
      </c>
      <c r="G1189" s="4">
        <v>-4.7999999999999996E-3</v>
      </c>
    </row>
    <row r="1190" spans="1:7" x14ac:dyDescent="0.3">
      <c r="A1190" s="25">
        <v>44363</v>
      </c>
      <c r="B1190" s="13">
        <v>15767.55</v>
      </c>
      <c r="C1190" s="13">
        <v>15847.5</v>
      </c>
      <c r="D1190" s="13">
        <v>15880.85</v>
      </c>
      <c r="E1190" s="13">
        <v>15742.6</v>
      </c>
      <c r="F1190" t="s">
        <v>138</v>
      </c>
      <c r="G1190" s="4">
        <v>-6.4000000000000003E-3</v>
      </c>
    </row>
    <row r="1191" spans="1:7" x14ac:dyDescent="0.3">
      <c r="A1191" s="25">
        <v>44362</v>
      </c>
      <c r="B1191" s="13">
        <v>15869.25</v>
      </c>
      <c r="C1191" s="13">
        <v>15866.95</v>
      </c>
      <c r="D1191" s="13">
        <v>15901.6</v>
      </c>
      <c r="E1191" s="13">
        <v>15842.4</v>
      </c>
      <c r="F1191" t="s">
        <v>137</v>
      </c>
      <c r="G1191" s="4">
        <v>3.5999999999999999E-3</v>
      </c>
    </row>
    <row r="1192" spans="1:7" x14ac:dyDescent="0.3">
      <c r="A1192" s="25">
        <v>44361</v>
      </c>
      <c r="B1192" s="13">
        <v>15811.85</v>
      </c>
      <c r="C1192" s="13">
        <v>15791.4</v>
      </c>
      <c r="D1192" s="13">
        <v>15823.05</v>
      </c>
      <c r="E1192" s="13">
        <v>15606.5</v>
      </c>
      <c r="F1192" t="s">
        <v>136</v>
      </c>
      <c r="G1192" s="4">
        <v>8.0000000000000004E-4</v>
      </c>
    </row>
    <row r="1193" spans="1:7" x14ac:dyDescent="0.3">
      <c r="A1193" s="25">
        <v>44358</v>
      </c>
      <c r="B1193" s="13">
        <v>15799.35</v>
      </c>
      <c r="C1193" s="13">
        <v>15796.45</v>
      </c>
      <c r="D1193" s="13">
        <v>15835.55</v>
      </c>
      <c r="E1193" s="13">
        <v>15749.8</v>
      </c>
      <c r="F1193" t="s">
        <v>135</v>
      </c>
      <c r="G1193" s="4">
        <v>3.8999999999999998E-3</v>
      </c>
    </row>
    <row r="1194" spans="1:7" x14ac:dyDescent="0.3">
      <c r="A1194" s="25">
        <v>44357</v>
      </c>
      <c r="B1194" s="13">
        <v>15737.75</v>
      </c>
      <c r="C1194" s="13">
        <v>15692.1</v>
      </c>
      <c r="D1194" s="13">
        <v>15751.25</v>
      </c>
      <c r="E1194" s="13">
        <v>15648.5</v>
      </c>
      <c r="F1194" t="s">
        <v>134</v>
      </c>
      <c r="G1194" s="4">
        <v>6.4999999999999997E-3</v>
      </c>
    </row>
    <row r="1195" spans="1:7" x14ac:dyDescent="0.3">
      <c r="A1195" s="25">
        <v>44356</v>
      </c>
      <c r="B1195" s="13">
        <v>15635.35</v>
      </c>
      <c r="C1195" s="13">
        <v>15766.3</v>
      </c>
      <c r="D1195" s="13">
        <v>15800.45</v>
      </c>
      <c r="E1195" s="13">
        <v>15566.9</v>
      </c>
      <c r="F1195" t="s">
        <v>133</v>
      </c>
      <c r="G1195" s="4">
        <v>-6.7000000000000002E-3</v>
      </c>
    </row>
    <row r="1196" spans="1:7" x14ac:dyDescent="0.3">
      <c r="A1196" s="25">
        <v>44355</v>
      </c>
      <c r="B1196" s="13">
        <v>15740.1</v>
      </c>
      <c r="C1196" s="13">
        <v>15773.9</v>
      </c>
      <c r="D1196" s="13">
        <v>15778.8</v>
      </c>
      <c r="E1196" s="13">
        <v>15680</v>
      </c>
      <c r="F1196" t="s">
        <v>132</v>
      </c>
      <c r="G1196" s="4">
        <v>-6.9999999999999999E-4</v>
      </c>
    </row>
    <row r="1197" spans="1:7" x14ac:dyDescent="0.3">
      <c r="A1197" s="25">
        <v>44354</v>
      </c>
      <c r="B1197" s="13">
        <v>15751.65</v>
      </c>
      <c r="C1197" s="13">
        <v>15725.1</v>
      </c>
      <c r="D1197" s="13">
        <v>15773.45</v>
      </c>
      <c r="E1197" s="13">
        <v>15678.1</v>
      </c>
      <c r="F1197" t="s">
        <v>131</v>
      </c>
      <c r="G1197" s="4">
        <v>5.1999999999999998E-3</v>
      </c>
    </row>
    <row r="1198" spans="1:7" x14ac:dyDescent="0.3">
      <c r="A1198" s="25">
        <v>44351</v>
      </c>
      <c r="B1198" s="13">
        <v>15670.25</v>
      </c>
      <c r="C1198" s="13">
        <v>15712.5</v>
      </c>
      <c r="D1198" s="13">
        <v>15733.6</v>
      </c>
      <c r="E1198" s="13">
        <v>15622.35</v>
      </c>
      <c r="F1198" t="s">
        <v>130</v>
      </c>
      <c r="G1198" s="4">
        <v>-1.2999999999999999E-3</v>
      </c>
    </row>
    <row r="1199" spans="1:7" x14ac:dyDescent="0.3">
      <c r="A1199" s="25">
        <v>44350</v>
      </c>
      <c r="B1199" s="13">
        <v>15690.35</v>
      </c>
      <c r="C1199" s="13">
        <v>15655.55</v>
      </c>
      <c r="D1199" s="13">
        <v>15705.1</v>
      </c>
      <c r="E1199" s="13">
        <v>15611</v>
      </c>
      <c r="F1199" t="s">
        <v>129</v>
      </c>
      <c r="G1199" s="4">
        <v>7.3000000000000001E-3</v>
      </c>
    </row>
    <row r="1200" spans="1:7" x14ac:dyDescent="0.3">
      <c r="A1200" s="25">
        <v>44349</v>
      </c>
      <c r="B1200" s="13">
        <v>15576.2</v>
      </c>
      <c r="C1200" s="13">
        <v>15520.35</v>
      </c>
      <c r="D1200" s="13">
        <v>15597.45</v>
      </c>
      <c r="E1200" s="13">
        <v>15459.85</v>
      </c>
      <c r="F1200" t="s">
        <v>128</v>
      </c>
      <c r="G1200" s="4">
        <v>1E-4</v>
      </c>
    </row>
    <row r="1201" spans="1:7" x14ac:dyDescent="0.3">
      <c r="A1201" s="25">
        <v>44348</v>
      </c>
      <c r="B1201" s="13">
        <v>15574.85</v>
      </c>
      <c r="C1201" s="13">
        <v>15629.65</v>
      </c>
      <c r="D1201" s="13">
        <v>15660.75</v>
      </c>
      <c r="E1201" s="13">
        <v>15528.3</v>
      </c>
      <c r="F1201" t="s">
        <v>127</v>
      </c>
      <c r="G1201" s="4">
        <v>-5.0000000000000001E-4</v>
      </c>
    </row>
    <row r="1202" spans="1:7" x14ac:dyDescent="0.3">
      <c r="A1202" s="25">
        <v>44347</v>
      </c>
      <c r="B1202" s="13">
        <v>15582.8</v>
      </c>
      <c r="C1202" s="13">
        <v>15437.75</v>
      </c>
      <c r="D1202" s="13">
        <v>15606.35</v>
      </c>
      <c r="E1202" s="13">
        <v>15374</v>
      </c>
      <c r="F1202" t="s">
        <v>126</v>
      </c>
      <c r="G1202" s="4">
        <v>9.4999999999999998E-3</v>
      </c>
    </row>
    <row r="1203" spans="1:7" x14ac:dyDescent="0.3">
      <c r="A1203" s="25">
        <v>44344</v>
      </c>
      <c r="B1203" s="13">
        <v>15435.65</v>
      </c>
      <c r="C1203" s="13">
        <v>15421.2</v>
      </c>
      <c r="D1203" s="13">
        <v>15469.65</v>
      </c>
      <c r="E1203" s="13">
        <v>15394.75</v>
      </c>
      <c r="F1203" t="s">
        <v>125</v>
      </c>
      <c r="G1203" s="4">
        <v>6.4000000000000003E-3</v>
      </c>
    </row>
    <row r="1204" spans="1:7" x14ac:dyDescent="0.3">
      <c r="A1204" s="25">
        <v>44343</v>
      </c>
      <c r="B1204" s="13">
        <v>15337.85</v>
      </c>
      <c r="C1204" s="13">
        <v>15323.95</v>
      </c>
      <c r="D1204" s="13">
        <v>15384.55</v>
      </c>
      <c r="E1204" s="13">
        <v>15272.5</v>
      </c>
      <c r="F1204" t="s">
        <v>124</v>
      </c>
      <c r="G1204" s="4">
        <v>2.3999999999999998E-3</v>
      </c>
    </row>
    <row r="1205" spans="1:7" x14ac:dyDescent="0.3">
      <c r="A1205" s="25">
        <v>44342</v>
      </c>
      <c r="B1205" s="13">
        <v>15301.45</v>
      </c>
      <c r="C1205" s="13">
        <v>15257.05</v>
      </c>
      <c r="D1205" s="13">
        <v>15319.9</v>
      </c>
      <c r="E1205" s="13">
        <v>15194.95</v>
      </c>
      <c r="F1205" t="s">
        <v>123</v>
      </c>
      <c r="G1205" s="4">
        <v>6.1000000000000004E-3</v>
      </c>
    </row>
    <row r="1206" spans="1:7" x14ac:dyDescent="0.3">
      <c r="A1206" s="25">
        <v>44341</v>
      </c>
      <c r="B1206" s="13">
        <v>15208.45</v>
      </c>
      <c r="C1206" s="13">
        <v>15291.75</v>
      </c>
      <c r="D1206" s="13">
        <v>15293.85</v>
      </c>
      <c r="E1206" s="13">
        <v>15163.4</v>
      </c>
      <c r="F1206" t="s">
        <v>122</v>
      </c>
      <c r="G1206" s="4">
        <v>6.9999999999999999E-4</v>
      </c>
    </row>
    <row r="1207" spans="1:7" x14ac:dyDescent="0.3">
      <c r="A1207" s="25">
        <v>44340</v>
      </c>
      <c r="B1207" s="13">
        <v>15197.7</v>
      </c>
      <c r="C1207" s="13">
        <v>15211.35</v>
      </c>
      <c r="D1207" s="13">
        <v>15256.25</v>
      </c>
      <c r="E1207" s="13">
        <v>15145.45</v>
      </c>
      <c r="F1207" t="s">
        <v>121</v>
      </c>
      <c r="G1207" s="4">
        <v>1.5E-3</v>
      </c>
    </row>
    <row r="1208" spans="1:7" x14ac:dyDescent="0.3">
      <c r="A1208" s="25">
        <v>44337</v>
      </c>
      <c r="B1208" s="13">
        <v>15175.3</v>
      </c>
      <c r="C1208" s="13">
        <v>14987.8</v>
      </c>
      <c r="D1208" s="13">
        <v>15190</v>
      </c>
      <c r="E1208" s="13">
        <v>14985.85</v>
      </c>
      <c r="F1208" t="s">
        <v>120</v>
      </c>
      <c r="G1208" s="4">
        <v>1.8100000000000002E-2</v>
      </c>
    </row>
    <row r="1209" spans="1:7" x14ac:dyDescent="0.3">
      <c r="A1209" s="25">
        <v>44336</v>
      </c>
      <c r="B1209" s="13">
        <v>14906.05</v>
      </c>
      <c r="C1209" s="13">
        <v>15042.6</v>
      </c>
      <c r="D1209" s="13">
        <v>15069.8</v>
      </c>
      <c r="E1209" s="13">
        <v>14884.9</v>
      </c>
      <c r="F1209" t="s">
        <v>119</v>
      </c>
      <c r="G1209" s="4">
        <v>-8.3000000000000001E-3</v>
      </c>
    </row>
    <row r="1210" spans="1:7" x14ac:dyDescent="0.3">
      <c r="A1210" s="25">
        <v>44335</v>
      </c>
      <c r="B1210" s="13">
        <v>15030.15</v>
      </c>
      <c r="C1210" s="13">
        <v>15058.6</v>
      </c>
      <c r="D1210" s="13">
        <v>15133.4</v>
      </c>
      <c r="E1210" s="13">
        <v>15008.85</v>
      </c>
      <c r="F1210" t="s">
        <v>118</v>
      </c>
      <c r="G1210" s="4">
        <v>-5.1999999999999998E-3</v>
      </c>
    </row>
    <row r="1211" spans="1:7" x14ac:dyDescent="0.3">
      <c r="A1211" s="25">
        <v>44334</v>
      </c>
      <c r="B1211" s="13">
        <v>15108.1</v>
      </c>
      <c r="C1211" s="13">
        <v>15067.2</v>
      </c>
      <c r="D1211" s="13">
        <v>15137.25</v>
      </c>
      <c r="E1211" s="13">
        <v>15043.7</v>
      </c>
      <c r="F1211" t="s">
        <v>117</v>
      </c>
      <c r="G1211" s="4">
        <v>1.24E-2</v>
      </c>
    </row>
    <row r="1212" spans="1:7" x14ac:dyDescent="0.3">
      <c r="A1212" s="25">
        <v>44333</v>
      </c>
      <c r="B1212" s="13">
        <v>14923.15</v>
      </c>
      <c r="C1212" s="13">
        <v>14756.25</v>
      </c>
      <c r="D1212" s="13">
        <v>14938</v>
      </c>
      <c r="E1212" s="13">
        <v>14725.35</v>
      </c>
      <c r="F1212" t="s">
        <v>116</v>
      </c>
      <c r="G1212" s="4">
        <v>1.67E-2</v>
      </c>
    </row>
    <row r="1213" spans="1:7" x14ac:dyDescent="0.3">
      <c r="A1213" s="25">
        <v>44330</v>
      </c>
      <c r="B1213" s="13">
        <v>14677.8</v>
      </c>
      <c r="C1213" s="13">
        <v>14749.4</v>
      </c>
      <c r="D1213" s="13">
        <v>14749.65</v>
      </c>
      <c r="E1213" s="13">
        <v>14591.9</v>
      </c>
      <c r="F1213" t="s">
        <v>115</v>
      </c>
      <c r="G1213" s="4">
        <v>-1.2999999999999999E-3</v>
      </c>
    </row>
    <row r="1214" spans="1:7" x14ac:dyDescent="0.3">
      <c r="A1214" s="25">
        <v>44328</v>
      </c>
      <c r="B1214" s="13">
        <v>14696.5</v>
      </c>
      <c r="C1214" s="13">
        <v>14823.55</v>
      </c>
      <c r="D1214" s="13">
        <v>14824.05</v>
      </c>
      <c r="E1214" s="13">
        <v>14649.7</v>
      </c>
      <c r="F1214" t="s">
        <v>114</v>
      </c>
      <c r="G1214" s="4">
        <v>-1.04E-2</v>
      </c>
    </row>
    <row r="1215" spans="1:7" x14ac:dyDescent="0.3">
      <c r="A1215" s="25">
        <v>44327</v>
      </c>
      <c r="B1215" s="13">
        <v>14850.75</v>
      </c>
      <c r="C1215" s="13">
        <v>14789.7</v>
      </c>
      <c r="D1215" s="13">
        <v>14900</v>
      </c>
      <c r="E1215" s="13">
        <v>14771.4</v>
      </c>
      <c r="F1215" t="s">
        <v>113</v>
      </c>
      <c r="G1215" s="4">
        <v>-6.1000000000000004E-3</v>
      </c>
    </row>
    <row r="1216" spans="1:7" x14ac:dyDescent="0.3">
      <c r="A1216" s="25">
        <v>44326</v>
      </c>
      <c r="B1216" s="13">
        <v>14942.35</v>
      </c>
      <c r="C1216" s="13">
        <v>14928.25</v>
      </c>
      <c r="D1216" s="13">
        <v>14966.9</v>
      </c>
      <c r="E1216" s="13">
        <v>14892.5</v>
      </c>
      <c r="F1216" t="s">
        <v>112</v>
      </c>
      <c r="G1216" s="4">
        <v>8.0000000000000002E-3</v>
      </c>
    </row>
    <row r="1217" spans="1:7" x14ac:dyDescent="0.3">
      <c r="A1217" s="25">
        <v>44323</v>
      </c>
      <c r="B1217" s="13">
        <v>14823.15</v>
      </c>
      <c r="C1217" s="13">
        <v>14816.85</v>
      </c>
      <c r="D1217" s="13">
        <v>14863.05</v>
      </c>
      <c r="E1217" s="13">
        <v>14765.5</v>
      </c>
      <c r="F1217" t="s">
        <v>111</v>
      </c>
      <c r="G1217" s="4">
        <v>6.7000000000000002E-3</v>
      </c>
    </row>
    <row r="1218" spans="1:7" x14ac:dyDescent="0.3">
      <c r="A1218" s="25">
        <v>44322</v>
      </c>
      <c r="B1218" s="13">
        <v>14724.8</v>
      </c>
      <c r="C1218" s="13">
        <v>14668.35</v>
      </c>
      <c r="D1218" s="13">
        <v>14743.9</v>
      </c>
      <c r="E1218" s="13">
        <v>14611.5</v>
      </c>
      <c r="F1218" t="s">
        <v>110</v>
      </c>
      <c r="G1218" s="4">
        <v>7.3000000000000001E-3</v>
      </c>
    </row>
    <row r="1219" spans="1:7" x14ac:dyDescent="0.3">
      <c r="A1219" s="25">
        <v>44321</v>
      </c>
      <c r="B1219" s="13">
        <v>14617.85</v>
      </c>
      <c r="C1219" s="13">
        <v>14604.15</v>
      </c>
      <c r="D1219" s="13">
        <v>14637.9</v>
      </c>
      <c r="E1219" s="13">
        <v>14506.6</v>
      </c>
      <c r="F1219" t="s">
        <v>109</v>
      </c>
      <c r="G1219" s="4">
        <v>8.3999999999999995E-3</v>
      </c>
    </row>
    <row r="1220" spans="1:7" x14ac:dyDescent="0.3">
      <c r="A1220" s="25">
        <v>44320</v>
      </c>
      <c r="B1220" s="13">
        <v>14496.5</v>
      </c>
      <c r="C1220" s="13">
        <v>14687.25</v>
      </c>
      <c r="D1220" s="13">
        <v>14723.4</v>
      </c>
      <c r="E1220" s="13">
        <v>14461.5</v>
      </c>
      <c r="F1220" t="s">
        <v>108</v>
      </c>
      <c r="G1220" s="4">
        <v>-9.4000000000000004E-3</v>
      </c>
    </row>
    <row r="1221" spans="1:7" x14ac:dyDescent="0.3">
      <c r="A1221" s="25">
        <v>44319</v>
      </c>
      <c r="B1221" s="13">
        <v>14634.15</v>
      </c>
      <c r="C1221" s="13">
        <v>14481.05</v>
      </c>
      <c r="D1221" s="13">
        <v>14673.85</v>
      </c>
      <c r="E1221" s="13">
        <v>14416.25</v>
      </c>
      <c r="F1221" t="s">
        <v>107</v>
      </c>
      <c r="G1221" s="4">
        <v>2.0000000000000001E-4</v>
      </c>
    </row>
    <row r="1222" spans="1:7" x14ac:dyDescent="0.3">
      <c r="A1222" s="25">
        <v>44316</v>
      </c>
      <c r="B1222" s="13">
        <v>14631.1</v>
      </c>
      <c r="C1222" s="13">
        <v>14747.35</v>
      </c>
      <c r="D1222" s="13">
        <v>14855.45</v>
      </c>
      <c r="E1222" s="13">
        <v>14601.7</v>
      </c>
      <c r="F1222" t="s">
        <v>106</v>
      </c>
      <c r="G1222" s="4">
        <v>-1.77E-2</v>
      </c>
    </row>
    <row r="1223" spans="1:7" x14ac:dyDescent="0.3">
      <c r="A1223" s="25">
        <v>44315</v>
      </c>
      <c r="B1223" s="13">
        <v>14894.9</v>
      </c>
      <c r="C1223" s="13">
        <v>14979</v>
      </c>
      <c r="D1223" s="13">
        <v>15044.35</v>
      </c>
      <c r="E1223" s="13">
        <v>14814.45</v>
      </c>
      <c r="F1223" t="s">
        <v>105</v>
      </c>
      <c r="G1223" s="4">
        <v>2E-3</v>
      </c>
    </row>
    <row r="1224" spans="1:7" x14ac:dyDescent="0.3">
      <c r="A1224" s="25">
        <v>44314</v>
      </c>
      <c r="B1224" s="13">
        <v>14864.55</v>
      </c>
      <c r="C1224" s="13">
        <v>14710.5</v>
      </c>
      <c r="D1224" s="13">
        <v>14890.25</v>
      </c>
      <c r="E1224" s="13">
        <v>14694.95</v>
      </c>
      <c r="F1224" t="s">
        <v>104</v>
      </c>
      <c r="G1224" s="4">
        <v>1.44E-2</v>
      </c>
    </row>
    <row r="1225" spans="1:7" x14ac:dyDescent="0.3">
      <c r="A1225" s="25">
        <v>44313</v>
      </c>
      <c r="B1225" s="13">
        <v>14653.05</v>
      </c>
      <c r="C1225" s="13">
        <v>14493.8</v>
      </c>
      <c r="D1225" s="13">
        <v>14667.55</v>
      </c>
      <c r="E1225" s="13">
        <v>14484.85</v>
      </c>
      <c r="F1225" t="s">
        <v>103</v>
      </c>
      <c r="G1225" s="4">
        <v>1.1599999999999999E-2</v>
      </c>
    </row>
    <row r="1226" spans="1:7" x14ac:dyDescent="0.3">
      <c r="A1226" s="25">
        <v>44312</v>
      </c>
      <c r="B1226" s="13">
        <v>14485</v>
      </c>
      <c r="C1226" s="13">
        <v>14449.45</v>
      </c>
      <c r="D1226" s="13">
        <v>14557.5</v>
      </c>
      <c r="E1226" s="13">
        <v>14421.3</v>
      </c>
      <c r="F1226" t="s">
        <v>102</v>
      </c>
      <c r="G1226" s="4">
        <v>0.01</v>
      </c>
    </row>
    <row r="1227" spans="1:7" x14ac:dyDescent="0.3">
      <c r="A1227" s="25">
        <v>44309</v>
      </c>
      <c r="B1227" s="13">
        <v>14341.35</v>
      </c>
      <c r="C1227" s="13">
        <v>14326.35</v>
      </c>
      <c r="D1227" s="13">
        <v>14461.15</v>
      </c>
      <c r="E1227" s="13">
        <v>14273.3</v>
      </c>
      <c r="F1227" t="s">
        <v>101</v>
      </c>
      <c r="G1227" s="4">
        <v>-4.4999999999999997E-3</v>
      </c>
    </row>
    <row r="1228" spans="1:7" x14ac:dyDescent="0.3">
      <c r="A1228" s="25">
        <v>44308</v>
      </c>
      <c r="B1228" s="13">
        <v>14406.15</v>
      </c>
      <c r="C1228" s="13">
        <v>14219.15</v>
      </c>
      <c r="D1228" s="13">
        <v>14424.75</v>
      </c>
      <c r="E1228" s="13">
        <v>14151.4</v>
      </c>
      <c r="F1228" t="s">
        <v>100</v>
      </c>
      <c r="G1228" s="4">
        <v>7.7000000000000002E-3</v>
      </c>
    </row>
    <row r="1229" spans="1:7" x14ac:dyDescent="0.3">
      <c r="A1229" s="25">
        <v>44306</v>
      </c>
      <c r="B1229" s="13">
        <v>14296.4</v>
      </c>
      <c r="C1229" s="13">
        <v>14526.7</v>
      </c>
      <c r="D1229" s="13">
        <v>14526.95</v>
      </c>
      <c r="E1229" s="13">
        <v>14207.3</v>
      </c>
      <c r="F1229" t="s">
        <v>99</v>
      </c>
      <c r="G1229" s="4">
        <v>-4.4000000000000003E-3</v>
      </c>
    </row>
    <row r="1230" spans="1:7" x14ac:dyDescent="0.3">
      <c r="A1230" s="25">
        <v>44305</v>
      </c>
      <c r="B1230" s="13">
        <v>14359.45</v>
      </c>
      <c r="C1230" s="13">
        <v>14306.6</v>
      </c>
      <c r="D1230" s="13">
        <v>14382.3</v>
      </c>
      <c r="E1230" s="13">
        <v>14191.4</v>
      </c>
      <c r="F1230" t="s">
        <v>98</v>
      </c>
      <c r="G1230" s="4">
        <v>-1.77E-2</v>
      </c>
    </row>
    <row r="1231" spans="1:7" x14ac:dyDescent="0.3">
      <c r="A1231" s="25">
        <v>44302</v>
      </c>
      <c r="B1231" s="13">
        <v>14617.85</v>
      </c>
      <c r="C1231" s="13">
        <v>14599.6</v>
      </c>
      <c r="D1231" s="13">
        <v>14697.7</v>
      </c>
      <c r="E1231" s="13">
        <v>14559</v>
      </c>
      <c r="F1231" t="s">
        <v>97</v>
      </c>
      <c r="G1231" s="4">
        <v>2.5000000000000001E-3</v>
      </c>
    </row>
    <row r="1232" spans="1:7" x14ac:dyDescent="0.3">
      <c r="A1232" s="25">
        <v>44301</v>
      </c>
      <c r="B1232" s="13">
        <v>14581.45</v>
      </c>
      <c r="C1232" s="13">
        <v>14522.4</v>
      </c>
      <c r="D1232" s="13">
        <v>14597.55</v>
      </c>
      <c r="E1232" s="13">
        <v>14353.2</v>
      </c>
      <c r="F1232" t="s">
        <v>96</v>
      </c>
      <c r="G1232" s="4">
        <v>5.3E-3</v>
      </c>
    </row>
    <row r="1233" spans="1:7" x14ac:dyDescent="0.3">
      <c r="A1233" s="25">
        <v>44299</v>
      </c>
      <c r="B1233" s="13">
        <v>14504.8</v>
      </c>
      <c r="C1233" s="13">
        <v>14364.9</v>
      </c>
      <c r="D1233" s="13">
        <v>14528.9</v>
      </c>
      <c r="E1233" s="13">
        <v>14274.9</v>
      </c>
      <c r="F1233" t="s">
        <v>95</v>
      </c>
      <c r="G1233" s="4">
        <v>1.3599999999999999E-2</v>
      </c>
    </row>
    <row r="1234" spans="1:7" x14ac:dyDescent="0.3">
      <c r="A1234" s="25">
        <v>44298</v>
      </c>
      <c r="B1234" s="13">
        <v>14310.8</v>
      </c>
      <c r="C1234" s="13">
        <v>14644.65</v>
      </c>
      <c r="D1234" s="13">
        <v>14652.5</v>
      </c>
      <c r="E1234" s="13">
        <v>14248.7</v>
      </c>
      <c r="F1234" t="s">
        <v>94</v>
      </c>
      <c r="G1234" s="4">
        <v>-3.5299999999999998E-2</v>
      </c>
    </row>
    <row r="1235" spans="1:7" x14ac:dyDescent="0.3">
      <c r="A1235" s="25">
        <v>44295</v>
      </c>
      <c r="B1235" s="13">
        <v>14834.85</v>
      </c>
      <c r="C1235" s="13">
        <v>14882.65</v>
      </c>
      <c r="D1235" s="13">
        <v>14918.45</v>
      </c>
      <c r="E1235" s="13">
        <v>14785.65</v>
      </c>
      <c r="F1235" t="s">
        <v>93</v>
      </c>
      <c r="G1235" s="4">
        <v>-2.5999999999999999E-3</v>
      </c>
    </row>
    <row r="1236" spans="1:7" x14ac:dyDescent="0.3">
      <c r="A1236" s="25">
        <v>44294</v>
      </c>
      <c r="B1236" s="13">
        <v>14873.8</v>
      </c>
      <c r="C1236" s="13">
        <v>14875.65</v>
      </c>
      <c r="D1236" s="13">
        <v>14984.15</v>
      </c>
      <c r="E1236" s="13">
        <v>14821.1</v>
      </c>
      <c r="F1236" t="s">
        <v>92</v>
      </c>
      <c r="G1236" s="4">
        <v>3.7000000000000002E-3</v>
      </c>
    </row>
    <row r="1237" spans="1:7" x14ac:dyDescent="0.3">
      <c r="A1237" s="25">
        <v>44293</v>
      </c>
      <c r="B1237" s="13">
        <v>14819.05</v>
      </c>
      <c r="C1237" s="13">
        <v>14716.45</v>
      </c>
      <c r="D1237" s="13">
        <v>14879.8</v>
      </c>
      <c r="E1237" s="13">
        <v>14649.85</v>
      </c>
      <c r="F1237" t="s">
        <v>91</v>
      </c>
      <c r="G1237" s="4">
        <v>9.1999999999999998E-3</v>
      </c>
    </row>
    <row r="1238" spans="1:7" x14ac:dyDescent="0.3">
      <c r="A1238" s="25">
        <v>44292</v>
      </c>
      <c r="B1238" s="13">
        <v>14683.5</v>
      </c>
      <c r="C1238" s="13">
        <v>14737</v>
      </c>
      <c r="D1238" s="13">
        <v>14779.1</v>
      </c>
      <c r="E1238" s="13">
        <v>14573.9</v>
      </c>
      <c r="F1238" t="s">
        <v>90</v>
      </c>
      <c r="G1238" s="4">
        <v>3.0999999999999999E-3</v>
      </c>
    </row>
    <row r="1239" spans="1:7" x14ac:dyDescent="0.3">
      <c r="A1239" s="25">
        <v>44291</v>
      </c>
      <c r="B1239" s="13">
        <v>14637.8</v>
      </c>
      <c r="C1239" s="13">
        <v>14837.7</v>
      </c>
      <c r="D1239" s="13">
        <v>14849.85</v>
      </c>
      <c r="E1239" s="13">
        <v>14459.5</v>
      </c>
      <c r="F1239" t="s">
        <v>89</v>
      </c>
      <c r="G1239" s="4">
        <v>-1.54E-2</v>
      </c>
    </row>
    <row r="1240" spans="1:7" x14ac:dyDescent="0.3">
      <c r="A1240" s="25">
        <v>44287</v>
      </c>
      <c r="B1240" s="13">
        <v>14867.35</v>
      </c>
      <c r="C1240" s="13">
        <v>14798.4</v>
      </c>
      <c r="D1240" s="13">
        <v>14883.2</v>
      </c>
      <c r="E1240" s="13">
        <v>14692.45</v>
      </c>
      <c r="F1240" t="s">
        <v>88</v>
      </c>
      <c r="G1240" s="4">
        <v>1.2E-2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2781-C53C-4EBB-AC63-22941195A713}">
  <dimension ref="A1:I1240"/>
  <sheetViews>
    <sheetView tabSelected="1" workbookViewId="0">
      <selection activeCell="G6" sqref="G6"/>
    </sheetView>
  </sheetViews>
  <sheetFormatPr defaultRowHeight="14.4" x14ac:dyDescent="0.3"/>
  <cols>
    <col min="1" max="1" width="16.77734375" style="24" bestFit="1" customWidth="1"/>
    <col min="2" max="2" width="9" customWidth="1"/>
    <col min="8" max="8" width="12.44140625" bestFit="1" customWidth="1"/>
    <col min="9" max="9" width="34.33203125" bestFit="1" customWidth="1"/>
  </cols>
  <sheetData>
    <row r="1" spans="1:9" x14ac:dyDescent="0.3">
      <c r="A1" s="28" t="s">
        <v>61</v>
      </c>
      <c r="B1" s="27" t="s">
        <v>1301</v>
      </c>
      <c r="C1" s="27" t="s">
        <v>63</v>
      </c>
      <c r="D1" s="47" t="s">
        <v>64</v>
      </c>
      <c r="E1" s="47"/>
      <c r="H1" s="50" t="s">
        <v>65</v>
      </c>
      <c r="I1" s="51">
        <f>SLOPE(D2:D1240,E2:E1240)</f>
        <v>1.7566110341156476</v>
      </c>
    </row>
    <row r="2" spans="1:9" x14ac:dyDescent="0.3">
      <c r="A2" s="25">
        <v>46111</v>
      </c>
      <c r="B2" s="13">
        <v>1758.8</v>
      </c>
      <c r="C2" s="13">
        <f>VLOOKUP(A:A,'Nifty 50 '!$A:$B,2,0)</f>
        <v>22331.4</v>
      </c>
      <c r="D2" s="27" t="s">
        <v>62</v>
      </c>
      <c r="E2" s="27" t="s">
        <v>63</v>
      </c>
      <c r="G2" s="4"/>
      <c r="H2" s="30" t="s">
        <v>66</v>
      </c>
      <c r="I2" s="32">
        <v>6.9500000000000006E-2</v>
      </c>
    </row>
    <row r="3" spans="1:9" x14ac:dyDescent="0.3">
      <c r="A3" s="25">
        <v>46108</v>
      </c>
      <c r="B3" s="13">
        <v>1823</v>
      </c>
      <c r="C3" s="13">
        <f>VLOOKUP(A:A,'Nifty 50 '!$A:$B,2,0)</f>
        <v>22819.599999999999</v>
      </c>
      <c r="D3" s="13">
        <f>LN(B2/B3)</f>
        <v>-3.5851737372008037E-2</v>
      </c>
      <c r="E3" s="13">
        <f>LN(C2/C3)</f>
        <v>-2.1626055984993561E-2</v>
      </c>
      <c r="G3" s="4"/>
      <c r="H3" s="30" t="s">
        <v>67</v>
      </c>
      <c r="I3" s="33">
        <f>SUM(E2:E1240)/5</f>
        <v>8.1365245276875359E-2</v>
      </c>
    </row>
    <row r="4" spans="1:9" x14ac:dyDescent="0.3">
      <c r="A4" s="25">
        <v>46106</v>
      </c>
      <c r="B4" s="13">
        <v>1886.6</v>
      </c>
      <c r="C4" s="13">
        <f>VLOOKUP(A:A,'Nifty 50 '!$A:$B,2,0)</f>
        <v>23306.45</v>
      </c>
      <c r="D4" s="13">
        <f t="shared" ref="D4:E67" si="0">LN(B3/B4)</f>
        <v>-3.4292771537089727E-2</v>
      </c>
      <c r="E4" s="13">
        <f t="shared" si="0"/>
        <v>-2.1110330500768722E-2</v>
      </c>
      <c r="G4" s="4"/>
      <c r="H4" s="34" t="s">
        <v>68</v>
      </c>
      <c r="I4" s="31" t="s">
        <v>69</v>
      </c>
    </row>
    <row r="5" spans="1:9" x14ac:dyDescent="0.3">
      <c r="A5" s="25">
        <v>46105</v>
      </c>
      <c r="B5" s="13">
        <v>1817.9</v>
      </c>
      <c r="C5" s="13">
        <f>VLOOKUP(A:A,'Nifty 50 '!$A:$B,2,0)</f>
        <v>22912.400000000001</v>
      </c>
      <c r="D5" s="13">
        <f t="shared" si="0"/>
        <v>3.7094278491736736E-2</v>
      </c>
      <c r="E5" s="13">
        <f t="shared" si="0"/>
        <v>1.7051897570883399E-2</v>
      </c>
      <c r="G5" s="4"/>
      <c r="H5" s="35" t="s">
        <v>68</v>
      </c>
      <c r="I5" s="43">
        <f>I1*(1+(1-'Cost Of Debt Analysis'!G7)*'Capital Structure'!C5/'Capital Structure'!C4)</f>
        <v>2.1614476764861408</v>
      </c>
    </row>
    <row r="6" spans="1:9" x14ac:dyDescent="0.3">
      <c r="A6" s="25">
        <v>46104</v>
      </c>
      <c r="B6" s="13">
        <v>1833</v>
      </c>
      <c r="C6" s="13">
        <f>VLOOKUP(A:A,'Nifty 50 '!$A:$B,2,0)</f>
        <v>22512.65</v>
      </c>
      <c r="D6" s="13">
        <f t="shared" si="0"/>
        <v>-8.271980115688948E-3</v>
      </c>
      <c r="E6" s="13">
        <f t="shared" si="0"/>
        <v>1.7600875281506459E-2</v>
      </c>
      <c r="G6" s="4"/>
      <c r="H6" s="30"/>
      <c r="I6" s="31"/>
    </row>
    <row r="7" spans="1:9" x14ac:dyDescent="0.3">
      <c r="A7" s="25">
        <v>46101</v>
      </c>
      <c r="B7" s="13">
        <v>1927.1</v>
      </c>
      <c r="C7" s="13">
        <f>VLOOKUP(A:A,'Nifty 50 '!$A:$B,2,0)</f>
        <v>23114.5</v>
      </c>
      <c r="D7" s="13">
        <f t="shared" si="0"/>
        <v>-5.0062313364169865E-2</v>
      </c>
      <c r="E7" s="13">
        <f t="shared" si="0"/>
        <v>-2.6382752785782303E-2</v>
      </c>
      <c r="G7" s="4"/>
      <c r="H7" s="30" t="s">
        <v>70</v>
      </c>
      <c r="I7" s="31" t="s">
        <v>71</v>
      </c>
    </row>
    <row r="8" spans="1:9" x14ac:dyDescent="0.3">
      <c r="A8" s="25">
        <v>46100</v>
      </c>
      <c r="B8" s="13">
        <v>1936.8</v>
      </c>
      <c r="C8" s="13">
        <f>VLOOKUP(A:A,'Nifty 50 '!$A:$B,2,0)</f>
        <v>23002.15</v>
      </c>
      <c r="D8" s="13">
        <f t="shared" si="0"/>
        <v>-5.0208444199738621E-3</v>
      </c>
      <c r="E8" s="13">
        <f t="shared" si="0"/>
        <v>4.8724364094799378E-3</v>
      </c>
      <c r="G8" s="4"/>
      <c r="H8" s="30" t="s">
        <v>70</v>
      </c>
      <c r="I8" s="36">
        <f>I2+I5*(I3-I2)</f>
        <v>9.5146106834640393E-2</v>
      </c>
    </row>
    <row r="9" spans="1:9" x14ac:dyDescent="0.3">
      <c r="A9" s="25">
        <v>46099</v>
      </c>
      <c r="B9" s="13">
        <v>2007.2</v>
      </c>
      <c r="C9" s="13">
        <f>VLOOKUP(A:A,'Nifty 50 '!$A:$B,2,0)</f>
        <v>23777.8</v>
      </c>
      <c r="D9" s="13">
        <f t="shared" si="0"/>
        <v>-3.5703589428363887E-2</v>
      </c>
      <c r="E9" s="13">
        <f t="shared" si="0"/>
        <v>-3.3164682443435636E-2</v>
      </c>
      <c r="G9" s="4"/>
    </row>
    <row r="10" spans="1:9" x14ac:dyDescent="0.3">
      <c r="A10" s="25">
        <v>46098</v>
      </c>
      <c r="B10" s="13">
        <v>1975.4</v>
      </c>
      <c r="C10" s="13">
        <f>VLOOKUP(A:A,'Nifty 50 '!$A:$B,2,0)</f>
        <v>23581.15</v>
      </c>
      <c r="D10" s="13">
        <f t="shared" si="0"/>
        <v>1.5969806578185506E-2</v>
      </c>
      <c r="E10" s="13">
        <f t="shared" si="0"/>
        <v>8.3047082004444207E-3</v>
      </c>
      <c r="G10" s="4"/>
    </row>
    <row r="11" spans="1:9" x14ac:dyDescent="0.3">
      <c r="A11" s="25">
        <v>46097</v>
      </c>
      <c r="B11" s="13">
        <v>1978</v>
      </c>
      <c r="C11" s="13">
        <f>VLOOKUP(A:A,'Nifty 50 '!$A:$B,2,0)</f>
        <v>23408.799999999999</v>
      </c>
      <c r="D11" s="13">
        <f t="shared" si="0"/>
        <v>-1.3153237086304637E-3</v>
      </c>
      <c r="E11" s="13">
        <f t="shared" si="0"/>
        <v>7.3356440204539039E-3</v>
      </c>
      <c r="G11" s="4"/>
    </row>
    <row r="12" spans="1:9" x14ac:dyDescent="0.3">
      <c r="A12" s="25">
        <v>46094</v>
      </c>
      <c r="B12" s="13">
        <v>1961.1</v>
      </c>
      <c r="C12" s="13">
        <f>VLOOKUP(A:A,'Nifty 50 '!$A:$B,2,0)</f>
        <v>23151.1</v>
      </c>
      <c r="D12" s="13">
        <f t="shared" si="0"/>
        <v>8.5806928958638111E-3</v>
      </c>
      <c r="E12" s="13">
        <f t="shared" si="0"/>
        <v>1.1069724441647895E-2</v>
      </c>
      <c r="G12" s="4"/>
    </row>
    <row r="13" spans="1:9" x14ac:dyDescent="0.3">
      <c r="A13" s="25">
        <v>46093</v>
      </c>
      <c r="B13" s="13">
        <v>2002</v>
      </c>
      <c r="C13" s="13">
        <f>VLOOKUP(A:A,'Nifty 50 '!$A:$B,2,0)</f>
        <v>23639.15</v>
      </c>
      <c r="D13" s="13">
        <f t="shared" si="0"/>
        <v>-2.0641140588372391E-2</v>
      </c>
      <c r="E13" s="13">
        <f t="shared" si="0"/>
        <v>-2.0861940282608349E-2</v>
      </c>
      <c r="G13" s="4"/>
    </row>
    <row r="14" spans="1:9" x14ac:dyDescent="0.3">
      <c r="A14" s="25">
        <v>46092</v>
      </c>
      <c r="B14" s="13">
        <v>1974.7</v>
      </c>
      <c r="C14" s="13">
        <f>VLOOKUP(A:A,'Nifty 50 '!$A:$B,2,0)</f>
        <v>23866.85</v>
      </c>
      <c r="D14" s="13">
        <f t="shared" si="0"/>
        <v>1.3730192811902037E-2</v>
      </c>
      <c r="E14" s="13">
        <f t="shared" si="0"/>
        <v>-9.5862309485363565E-3</v>
      </c>
      <c r="G14" s="4"/>
    </row>
    <row r="15" spans="1:9" x14ac:dyDescent="0.3">
      <c r="A15" s="25">
        <v>46091</v>
      </c>
      <c r="B15" s="13">
        <v>1996.5</v>
      </c>
      <c r="C15" s="13">
        <f>VLOOKUP(A:A,'Nifty 50 '!$A:$B,2,0)</f>
        <v>24261.599999999999</v>
      </c>
      <c r="D15" s="13">
        <f t="shared" si="0"/>
        <v>-1.097915944001213E-2</v>
      </c>
      <c r="E15" s="13">
        <f t="shared" si="0"/>
        <v>-1.6404386692587491E-2</v>
      </c>
      <c r="G15" s="4"/>
    </row>
    <row r="16" spans="1:9" x14ac:dyDescent="0.3">
      <c r="A16" s="25">
        <v>46090</v>
      </c>
      <c r="B16" s="13">
        <v>1999.2</v>
      </c>
      <c r="C16" s="13">
        <f>VLOOKUP(A:A,'Nifty 50 '!$A:$B,2,0)</f>
        <v>24028.05</v>
      </c>
      <c r="D16" s="13">
        <f t="shared" si="0"/>
        <v>-1.3514530174666705E-3</v>
      </c>
      <c r="E16" s="13">
        <f t="shared" si="0"/>
        <v>9.6729556344604898E-3</v>
      </c>
      <c r="G16" s="4"/>
    </row>
    <row r="17" spans="1:7" x14ac:dyDescent="0.3">
      <c r="A17" s="25">
        <v>46087</v>
      </c>
      <c r="B17" s="13">
        <v>2039.9</v>
      </c>
      <c r="C17" s="13">
        <f>VLOOKUP(A:A,'Nifty 50 '!$A:$B,2,0)</f>
        <v>24450.45</v>
      </c>
      <c r="D17" s="13">
        <f t="shared" si="0"/>
        <v>-2.0153686508176137E-2</v>
      </c>
      <c r="E17" s="13">
        <f t="shared" si="0"/>
        <v>-1.7426722768128327E-2</v>
      </c>
      <c r="G17" s="4"/>
    </row>
    <row r="18" spans="1:7" x14ac:dyDescent="0.3">
      <c r="A18" s="25">
        <v>46086</v>
      </c>
      <c r="B18" s="13">
        <v>2089.1999999999998</v>
      </c>
      <c r="C18" s="13">
        <f>VLOOKUP(A:A,'Nifty 50 '!$A:$B,2,0)</f>
        <v>24765.9</v>
      </c>
      <c r="D18" s="13">
        <f t="shared" si="0"/>
        <v>-2.3880430533224809E-2</v>
      </c>
      <c r="E18" s="13">
        <f t="shared" si="0"/>
        <v>-1.2819086331517163E-2</v>
      </c>
      <c r="G18" s="4"/>
    </row>
    <row r="19" spans="1:7" x14ac:dyDescent="0.3">
      <c r="A19" s="25">
        <v>46085</v>
      </c>
      <c r="B19" s="13">
        <v>2076.5</v>
      </c>
      <c r="C19" s="13">
        <f>VLOOKUP(A:A,'Nifty 50 '!$A:$B,2,0)</f>
        <v>24480.5</v>
      </c>
      <c r="D19" s="13">
        <f t="shared" si="0"/>
        <v>6.0974334913353762E-3</v>
      </c>
      <c r="E19" s="13">
        <f t="shared" si="0"/>
        <v>1.159082471886308E-2</v>
      </c>
      <c r="G19" s="4"/>
    </row>
    <row r="20" spans="1:7" x14ac:dyDescent="0.3">
      <c r="A20" s="25">
        <v>46083</v>
      </c>
      <c r="B20" s="13">
        <v>2124.6</v>
      </c>
      <c r="C20" s="13">
        <f>VLOOKUP(A:A,'Nifty 50 '!$A:$B,2,0)</f>
        <v>24865.7</v>
      </c>
      <c r="D20" s="13">
        <f t="shared" si="0"/>
        <v>-2.2899765275104789E-2</v>
      </c>
      <c r="E20" s="13">
        <f t="shared" si="0"/>
        <v>-1.56124615192116E-2</v>
      </c>
      <c r="G20" s="4"/>
    </row>
    <row r="21" spans="1:7" x14ac:dyDescent="0.3">
      <c r="A21" s="25">
        <v>46080</v>
      </c>
      <c r="B21" s="13">
        <v>2161.8000000000002</v>
      </c>
      <c r="C21" s="13">
        <f>VLOOKUP(A:A,'Nifty 50 '!$A:$B,2,0)</f>
        <v>25178.65</v>
      </c>
      <c r="D21" s="13">
        <f t="shared" si="0"/>
        <v>-1.7357658636189658E-2</v>
      </c>
      <c r="E21" s="13">
        <f t="shared" si="0"/>
        <v>-1.2507069408217645E-2</v>
      </c>
      <c r="G21" s="4"/>
    </row>
    <row r="22" spans="1:7" x14ac:dyDescent="0.3">
      <c r="A22" s="25">
        <v>46079</v>
      </c>
      <c r="B22" s="13">
        <v>2216.4</v>
      </c>
      <c r="C22" s="13">
        <f>VLOOKUP(A:A,'Nifty 50 '!$A:$B,2,0)</f>
        <v>25496.55</v>
      </c>
      <c r="D22" s="13">
        <f t="shared" si="0"/>
        <v>-2.4943050011092045E-2</v>
      </c>
      <c r="E22" s="13">
        <f t="shared" si="0"/>
        <v>-1.2546735694086916E-2</v>
      </c>
      <c r="G22" s="4"/>
    </row>
    <row r="23" spans="1:7" x14ac:dyDescent="0.3">
      <c r="A23" s="25">
        <v>46078</v>
      </c>
      <c r="B23" s="13">
        <v>2231.6999999999998</v>
      </c>
      <c r="C23" s="13">
        <f>VLOOKUP(A:A,'Nifty 50 '!$A:$B,2,0)</f>
        <v>25482.5</v>
      </c>
      <c r="D23" s="13">
        <f t="shared" si="0"/>
        <v>-6.8793688722107102E-3</v>
      </c>
      <c r="E23" s="13">
        <f t="shared" si="0"/>
        <v>5.5120683322783769E-4</v>
      </c>
      <c r="G23" s="4"/>
    </row>
    <row r="24" spans="1:7" x14ac:dyDescent="0.3">
      <c r="A24" s="25">
        <v>46077</v>
      </c>
      <c r="B24" s="13">
        <v>2183</v>
      </c>
      <c r="C24" s="13">
        <f>VLOOKUP(A:A,'Nifty 50 '!$A:$B,2,0)</f>
        <v>25424.65</v>
      </c>
      <c r="D24" s="13">
        <f t="shared" si="0"/>
        <v>2.2063549315461457E-2</v>
      </c>
      <c r="E24" s="13">
        <f t="shared" si="0"/>
        <v>2.2727661989268987E-3</v>
      </c>
      <c r="G24" s="4"/>
    </row>
    <row r="25" spans="1:7" x14ac:dyDescent="0.3">
      <c r="A25" s="25">
        <v>46076</v>
      </c>
      <c r="B25" s="13">
        <v>2191</v>
      </c>
      <c r="C25" s="13">
        <f>VLOOKUP(A:A,'Nifty 50 '!$A:$B,2,0)</f>
        <v>25713</v>
      </c>
      <c r="D25" s="13">
        <f t="shared" si="0"/>
        <v>-3.6579830455225788E-3</v>
      </c>
      <c r="E25" s="13">
        <f t="shared" si="0"/>
        <v>-1.1277524723351435E-2</v>
      </c>
      <c r="G25" s="4"/>
    </row>
    <row r="26" spans="1:7" x14ac:dyDescent="0.3">
      <c r="A26" s="25">
        <v>46073</v>
      </c>
      <c r="B26" s="13">
        <v>2160.8000000000002</v>
      </c>
      <c r="C26" s="13">
        <f>VLOOKUP(A:A,'Nifty 50 '!$A:$B,2,0)</f>
        <v>25571.25</v>
      </c>
      <c r="D26" s="13">
        <f t="shared" si="0"/>
        <v>1.3879537117060714E-2</v>
      </c>
      <c r="E26" s="13">
        <f t="shared" si="0"/>
        <v>5.5280270640200302E-3</v>
      </c>
      <c r="G26" s="4"/>
    </row>
    <row r="27" spans="1:7" x14ac:dyDescent="0.3">
      <c r="A27" s="25">
        <v>46072</v>
      </c>
      <c r="B27" s="13">
        <v>2156.6999999999998</v>
      </c>
      <c r="C27" s="13">
        <f>VLOOKUP(A:A,'Nifty 50 '!$A:$B,2,0)</f>
        <v>25454.35</v>
      </c>
      <c r="D27" s="13">
        <f t="shared" si="0"/>
        <v>1.8992478204703468E-3</v>
      </c>
      <c r="E27" s="13">
        <f t="shared" si="0"/>
        <v>4.5820217508651916E-3</v>
      </c>
      <c r="G27" s="4"/>
    </row>
    <row r="28" spans="1:7" x14ac:dyDescent="0.3">
      <c r="A28" s="25">
        <v>46071</v>
      </c>
      <c r="B28" s="13">
        <v>2211.1999999999998</v>
      </c>
      <c r="C28" s="13">
        <f>VLOOKUP(A:A,'Nifty 50 '!$A:$B,2,0)</f>
        <v>25819.35</v>
      </c>
      <c r="D28" s="13">
        <f t="shared" si="0"/>
        <v>-2.4956078915415209E-2</v>
      </c>
      <c r="E28" s="13">
        <f t="shared" si="0"/>
        <v>-1.4237559048147537E-2</v>
      </c>
      <c r="G28" s="4"/>
    </row>
    <row r="29" spans="1:7" x14ac:dyDescent="0.3">
      <c r="A29" s="25">
        <v>46070</v>
      </c>
      <c r="B29" s="13">
        <v>2242.9</v>
      </c>
      <c r="C29" s="13">
        <f>VLOOKUP(A:A,'Nifty 50 '!$A:$B,2,0)</f>
        <v>25725.4</v>
      </c>
      <c r="D29" s="13">
        <f t="shared" si="0"/>
        <v>-1.4234316805429427E-2</v>
      </c>
      <c r="E29" s="13">
        <f t="shared" si="0"/>
        <v>3.6453801421163674E-3</v>
      </c>
      <c r="G29" s="4"/>
    </row>
    <row r="30" spans="1:7" x14ac:dyDescent="0.3">
      <c r="A30" s="25">
        <v>46069</v>
      </c>
      <c r="B30" s="13">
        <v>2184.6</v>
      </c>
      <c r="C30" s="13">
        <f>VLOOKUP(A:A,'Nifty 50 '!$A:$B,2,0)</f>
        <v>25682.75</v>
      </c>
      <c r="D30" s="13">
        <f t="shared" si="0"/>
        <v>2.6336925969337364E-2</v>
      </c>
      <c r="E30" s="13">
        <f t="shared" si="0"/>
        <v>1.6592703602544172E-3</v>
      </c>
      <c r="G30" s="4"/>
    </row>
    <row r="31" spans="1:7" x14ac:dyDescent="0.3">
      <c r="A31" s="25">
        <v>46066</v>
      </c>
      <c r="B31" s="13">
        <v>2136.6</v>
      </c>
      <c r="C31" s="13">
        <f>VLOOKUP(A:A,'Nifty 50 '!$A:$B,2,0)</f>
        <v>25471.1</v>
      </c>
      <c r="D31" s="13">
        <f t="shared" si="0"/>
        <v>2.221696489765565E-2</v>
      </c>
      <c r="E31" s="13">
        <f t="shared" si="0"/>
        <v>8.2750841925694364E-3</v>
      </c>
      <c r="G31" s="4"/>
    </row>
    <row r="32" spans="1:7" x14ac:dyDescent="0.3">
      <c r="A32" s="25">
        <v>46065</v>
      </c>
      <c r="B32" s="13">
        <v>2211.8000000000002</v>
      </c>
      <c r="C32" s="13">
        <f>VLOOKUP(A:A,'Nifty 50 '!$A:$B,2,0)</f>
        <v>25807.200000000001</v>
      </c>
      <c r="D32" s="13">
        <f t="shared" si="0"/>
        <v>-3.4590883129472727E-2</v>
      </c>
      <c r="E32" s="13">
        <f t="shared" si="0"/>
        <v>-1.3109046639111787E-2</v>
      </c>
      <c r="G32" s="4"/>
    </row>
    <row r="33" spans="1:7" x14ac:dyDescent="0.3">
      <c r="A33" s="25">
        <v>46064</v>
      </c>
      <c r="B33" s="13">
        <v>2234.4</v>
      </c>
      <c r="C33" s="13">
        <f>VLOOKUP(A:A,'Nifty 50 '!$A:$B,2,0)</f>
        <v>25953.85</v>
      </c>
      <c r="D33" s="13">
        <f t="shared" si="0"/>
        <v>-1.0166071989707341E-2</v>
      </c>
      <c r="E33" s="13">
        <f t="shared" si="0"/>
        <v>-5.6664380800878688E-3</v>
      </c>
      <c r="G33" s="4"/>
    </row>
    <row r="34" spans="1:7" x14ac:dyDescent="0.3">
      <c r="A34" s="25">
        <v>46063</v>
      </c>
      <c r="B34" s="13">
        <v>2228.4</v>
      </c>
      <c r="C34" s="13">
        <f>VLOOKUP(A:A,'Nifty 50 '!$A:$B,2,0)</f>
        <v>25935.15</v>
      </c>
      <c r="D34" s="13">
        <f t="shared" si="0"/>
        <v>2.6888964843066183E-3</v>
      </c>
      <c r="E34" s="13">
        <f t="shared" si="0"/>
        <v>7.2076936574473247E-4</v>
      </c>
      <c r="G34" s="4"/>
    </row>
    <row r="35" spans="1:7" x14ac:dyDescent="0.3">
      <c r="A35" s="25">
        <v>46062</v>
      </c>
      <c r="B35" s="13">
        <v>2250.1</v>
      </c>
      <c r="C35" s="13">
        <f>VLOOKUP(A:A,'Nifty 50 '!$A:$B,2,0)</f>
        <v>25867.3</v>
      </c>
      <c r="D35" s="13">
        <f t="shared" si="0"/>
        <v>-9.6908205086247076E-3</v>
      </c>
      <c r="E35" s="13">
        <f t="shared" si="0"/>
        <v>2.6195687192277595E-3</v>
      </c>
      <c r="G35" s="4"/>
    </row>
    <row r="36" spans="1:7" x14ac:dyDescent="0.3">
      <c r="A36" s="25">
        <v>46059</v>
      </c>
      <c r="B36" s="13">
        <v>2226.4</v>
      </c>
      <c r="C36" s="13">
        <f>VLOOKUP(A:A,'Nifty 50 '!$A:$B,2,0)</f>
        <v>25693.7</v>
      </c>
      <c r="D36" s="13">
        <f t="shared" si="0"/>
        <v>1.0588728443604024E-2</v>
      </c>
      <c r="E36" s="13">
        <f t="shared" si="0"/>
        <v>6.7337970937869094E-3</v>
      </c>
      <c r="G36" s="4"/>
    </row>
    <row r="37" spans="1:7" x14ac:dyDescent="0.3">
      <c r="A37" s="25">
        <v>46058</v>
      </c>
      <c r="B37" s="13">
        <v>2236.6</v>
      </c>
      <c r="C37" s="13">
        <f>VLOOKUP(A:A,'Nifty 50 '!$A:$B,2,0)</f>
        <v>25642.799999999999</v>
      </c>
      <c r="D37" s="13">
        <f t="shared" si="0"/>
        <v>-4.5709243824068029E-3</v>
      </c>
      <c r="E37" s="13">
        <f t="shared" si="0"/>
        <v>1.9829952053364128E-3</v>
      </c>
      <c r="G37" s="4"/>
    </row>
    <row r="38" spans="1:7" x14ac:dyDescent="0.3">
      <c r="A38" s="25">
        <v>46057</v>
      </c>
      <c r="B38" s="13">
        <v>2228.1999999999998</v>
      </c>
      <c r="C38" s="13">
        <f>VLOOKUP(A:A,'Nifty 50 '!$A:$B,2,0)</f>
        <v>25776</v>
      </c>
      <c r="D38" s="13">
        <f t="shared" si="0"/>
        <v>3.7627709688718646E-3</v>
      </c>
      <c r="E38" s="13">
        <f t="shared" si="0"/>
        <v>-5.180995976337489E-3</v>
      </c>
      <c r="G38" s="4"/>
    </row>
    <row r="39" spans="1:7" x14ac:dyDescent="0.3">
      <c r="A39" s="25">
        <v>46056</v>
      </c>
      <c r="B39" s="13">
        <v>2202.6</v>
      </c>
      <c r="C39" s="13">
        <f>VLOOKUP(A:A,'Nifty 50 '!$A:$B,2,0)</f>
        <v>25727.55</v>
      </c>
      <c r="D39" s="13">
        <f t="shared" si="0"/>
        <v>1.1555603894372574E-2</v>
      </c>
      <c r="E39" s="13">
        <f t="shared" si="0"/>
        <v>1.8814242626680484E-3</v>
      </c>
      <c r="G39" s="4"/>
    </row>
    <row r="40" spans="1:7" x14ac:dyDescent="0.3">
      <c r="A40" s="25">
        <v>46055</v>
      </c>
      <c r="B40" s="13">
        <v>1995.4</v>
      </c>
      <c r="C40" s="13">
        <f>VLOOKUP(A:A,'Nifty 50 '!$A:$B,2,0)</f>
        <v>25088.400000000001</v>
      </c>
      <c r="D40" s="13">
        <f t="shared" si="0"/>
        <v>9.8793949251436669E-2</v>
      </c>
      <c r="E40" s="13">
        <f t="shared" si="0"/>
        <v>2.5156814253504294E-2</v>
      </c>
      <c r="G40" s="4"/>
    </row>
    <row r="41" spans="1:7" x14ac:dyDescent="0.3">
      <c r="A41" s="25">
        <v>46054</v>
      </c>
      <c r="B41" s="13">
        <v>1942.8</v>
      </c>
      <c r="C41" s="13">
        <f>VLOOKUP(A:A,'Nifty 50 '!$A:$B,2,0)</f>
        <v>24825.45</v>
      </c>
      <c r="D41" s="13">
        <f t="shared" si="0"/>
        <v>2.6714300007816997E-2</v>
      </c>
      <c r="E41" s="13">
        <f t="shared" si="0"/>
        <v>1.0536251263282424E-2</v>
      </c>
      <c r="G41" s="4"/>
    </row>
    <row r="42" spans="1:7" x14ac:dyDescent="0.3">
      <c r="A42" s="25">
        <v>46052</v>
      </c>
      <c r="B42" s="13">
        <v>2020.4</v>
      </c>
      <c r="C42" s="13">
        <f>VLOOKUP(A:A,'Nifty 50 '!$A:$B,2,0)</f>
        <v>25320.65</v>
      </c>
      <c r="D42" s="13">
        <f t="shared" si="0"/>
        <v>-3.9165280122307855E-2</v>
      </c>
      <c r="E42" s="13">
        <f t="shared" si="0"/>
        <v>-1.9750931697309907E-2</v>
      </c>
      <c r="G42" s="4"/>
    </row>
    <row r="43" spans="1:7" x14ac:dyDescent="0.3">
      <c r="A43" s="25">
        <v>46051</v>
      </c>
      <c r="B43" s="13">
        <v>2019.2</v>
      </c>
      <c r="C43" s="13">
        <f>VLOOKUP(A:A,'Nifty 50 '!$A:$B,2,0)</f>
        <v>25418.9</v>
      </c>
      <c r="D43" s="13">
        <f t="shared" si="0"/>
        <v>5.9411824700347305E-4</v>
      </c>
      <c r="E43" s="13">
        <f t="shared" si="0"/>
        <v>-3.8727234591551612E-3</v>
      </c>
      <c r="G43" s="4"/>
    </row>
    <row r="44" spans="1:7" x14ac:dyDescent="0.3">
      <c r="A44" s="25">
        <v>46050</v>
      </c>
      <c r="B44" s="13">
        <v>1994.7</v>
      </c>
      <c r="C44" s="13">
        <f>VLOOKUP(A:A,'Nifty 50 '!$A:$B,2,0)</f>
        <v>25342.75</v>
      </c>
      <c r="D44" s="13">
        <f t="shared" si="0"/>
        <v>1.2207730270375089E-2</v>
      </c>
      <c r="E44" s="13">
        <f t="shared" si="0"/>
        <v>3.0002987343345821E-3</v>
      </c>
      <c r="G44" s="4"/>
    </row>
    <row r="45" spans="1:7" x14ac:dyDescent="0.3">
      <c r="A45" s="25">
        <v>46049</v>
      </c>
      <c r="B45" s="13">
        <v>1959.5</v>
      </c>
      <c r="C45" s="13">
        <f>VLOOKUP(A:A,'Nifty 50 '!$A:$B,2,0)</f>
        <v>25175.4</v>
      </c>
      <c r="D45" s="13">
        <f t="shared" si="0"/>
        <v>1.7804324436832754E-2</v>
      </c>
      <c r="E45" s="13">
        <f t="shared" si="0"/>
        <v>6.6253658203434609E-3</v>
      </c>
      <c r="G45" s="4"/>
    </row>
    <row r="46" spans="1:7" x14ac:dyDescent="0.3">
      <c r="A46" s="25">
        <v>46045</v>
      </c>
      <c r="B46" s="13">
        <v>1864.2</v>
      </c>
      <c r="C46" s="13">
        <f>VLOOKUP(A:A,'Nifty 50 '!$A:$B,2,0)</f>
        <v>25048.65</v>
      </c>
      <c r="D46" s="13">
        <f t="shared" si="0"/>
        <v>4.9857332012629506E-2</v>
      </c>
      <c r="E46" s="13">
        <f t="shared" si="0"/>
        <v>5.0473933938835411E-3</v>
      </c>
      <c r="G46" s="4"/>
    </row>
    <row r="47" spans="1:7" x14ac:dyDescent="0.3">
      <c r="A47" s="25">
        <v>46044</v>
      </c>
      <c r="B47" s="13">
        <v>2086.4</v>
      </c>
      <c r="C47" s="13">
        <f>VLOOKUP(A:A,'Nifty 50 '!$A:$B,2,0)</f>
        <v>25289.9</v>
      </c>
      <c r="D47" s="13">
        <f t="shared" si="0"/>
        <v>-0.1126080861052771</v>
      </c>
      <c r="E47" s="13">
        <f t="shared" si="0"/>
        <v>-9.5851726789207992E-3</v>
      </c>
      <c r="G47" s="4"/>
    </row>
    <row r="48" spans="1:7" x14ac:dyDescent="0.3">
      <c r="A48" s="25">
        <v>46043</v>
      </c>
      <c r="B48" s="13">
        <v>2032.2</v>
      </c>
      <c r="C48" s="13">
        <f>VLOOKUP(A:A,'Nifty 50 '!$A:$B,2,0)</f>
        <v>25157.5</v>
      </c>
      <c r="D48" s="13">
        <f t="shared" si="0"/>
        <v>2.632114268055279E-2</v>
      </c>
      <c r="E48" s="13">
        <f t="shared" si="0"/>
        <v>5.2490437166370345E-3</v>
      </c>
      <c r="G48" s="4"/>
    </row>
    <row r="49" spans="1:7" x14ac:dyDescent="0.3">
      <c r="A49" s="25">
        <v>46042</v>
      </c>
      <c r="B49" s="13">
        <v>2055.1</v>
      </c>
      <c r="C49" s="13">
        <f>VLOOKUP(A:A,'Nifty 50 '!$A:$B,2,0)</f>
        <v>25232.5</v>
      </c>
      <c r="D49" s="13">
        <f t="shared" si="0"/>
        <v>-1.1205558495093526E-2</v>
      </c>
      <c r="E49" s="13">
        <f t="shared" si="0"/>
        <v>-2.9767833055262707E-3</v>
      </c>
      <c r="G49" s="4"/>
    </row>
    <row r="50" spans="1:7" x14ac:dyDescent="0.3">
      <c r="A50" s="25">
        <v>46041</v>
      </c>
      <c r="B50" s="13">
        <v>2134.6</v>
      </c>
      <c r="C50" s="13">
        <f>VLOOKUP(A:A,'Nifty 50 '!$A:$B,2,0)</f>
        <v>25585.5</v>
      </c>
      <c r="D50" s="13">
        <f t="shared" si="0"/>
        <v>-3.7954766932990047E-2</v>
      </c>
      <c r="E50" s="13">
        <f t="shared" si="0"/>
        <v>-1.3892938636022806E-2</v>
      </c>
      <c r="G50" s="4"/>
    </row>
    <row r="51" spans="1:7" x14ac:dyDescent="0.3">
      <c r="A51" s="25">
        <v>46038</v>
      </c>
      <c r="B51" s="13">
        <v>2157.3000000000002</v>
      </c>
      <c r="C51" s="13">
        <f>VLOOKUP(A:A,'Nifty 50 '!$A:$B,2,0)</f>
        <v>25694.35</v>
      </c>
      <c r="D51" s="13">
        <f t="shared" si="0"/>
        <v>-1.0578164296693561E-2</v>
      </c>
      <c r="E51" s="13">
        <f t="shared" si="0"/>
        <v>-4.245338606983875E-3</v>
      </c>
      <c r="G51" s="4"/>
    </row>
    <row r="52" spans="1:7" x14ac:dyDescent="0.3">
      <c r="A52" s="25">
        <v>46036</v>
      </c>
      <c r="B52" s="13">
        <v>2153.3000000000002</v>
      </c>
      <c r="C52" s="13">
        <f>VLOOKUP(A:A,'Nifty 50 '!$A:$B,2,0)</f>
        <v>25665.599999999999</v>
      </c>
      <c r="D52" s="13">
        <f t="shared" si="0"/>
        <v>1.8558906639957724E-3</v>
      </c>
      <c r="E52" s="13">
        <f t="shared" si="0"/>
        <v>1.1195494934444548E-3</v>
      </c>
      <c r="G52" s="4"/>
    </row>
    <row r="53" spans="1:7" x14ac:dyDescent="0.3">
      <c r="A53" s="25">
        <v>46035</v>
      </c>
      <c r="B53" s="13">
        <v>2158.5</v>
      </c>
      <c r="C53" s="13">
        <f>VLOOKUP(A:A,'Nifty 50 '!$A:$B,2,0)</f>
        <v>25732.3</v>
      </c>
      <c r="D53" s="13">
        <f t="shared" si="0"/>
        <v>-2.4119868829698245E-3</v>
      </c>
      <c r="E53" s="13">
        <f t="shared" si="0"/>
        <v>-2.5954382355152226E-3</v>
      </c>
      <c r="G53" s="4"/>
    </row>
    <row r="54" spans="1:7" x14ac:dyDescent="0.3">
      <c r="A54" s="25">
        <v>46034</v>
      </c>
      <c r="B54" s="13">
        <v>2171.6</v>
      </c>
      <c r="C54" s="13">
        <f>VLOOKUP(A:A,'Nifty 50 '!$A:$B,2,0)</f>
        <v>25790.25</v>
      </c>
      <c r="D54" s="13">
        <f t="shared" si="0"/>
        <v>-6.0506870357638241E-3</v>
      </c>
      <c r="E54" s="13">
        <f t="shared" si="0"/>
        <v>-2.2495014100358751E-3</v>
      </c>
      <c r="G54" s="4"/>
    </row>
    <row r="55" spans="1:7" x14ac:dyDescent="0.3">
      <c r="A55" s="25">
        <v>46031</v>
      </c>
      <c r="B55" s="13">
        <v>2153.6999999999998</v>
      </c>
      <c r="C55" s="13">
        <f>VLOOKUP(A:A,'Nifty 50 '!$A:$B,2,0)</f>
        <v>25683.3</v>
      </c>
      <c r="D55" s="13">
        <f t="shared" si="0"/>
        <v>8.2769297807491118E-3</v>
      </c>
      <c r="E55" s="13">
        <f t="shared" si="0"/>
        <v>4.1555382873515179E-3</v>
      </c>
      <c r="G55" s="4"/>
    </row>
    <row r="56" spans="1:7" x14ac:dyDescent="0.3">
      <c r="A56" s="25">
        <v>46030</v>
      </c>
      <c r="B56" s="13">
        <v>2214</v>
      </c>
      <c r="C56" s="13">
        <f>VLOOKUP(A:A,'Nifty 50 '!$A:$B,2,0)</f>
        <v>25876.85</v>
      </c>
      <c r="D56" s="13">
        <f t="shared" si="0"/>
        <v>-2.7613541018035266E-2</v>
      </c>
      <c r="E56" s="13">
        <f t="shared" si="0"/>
        <v>-7.5077713756043106E-3</v>
      </c>
      <c r="G56" s="4"/>
    </row>
    <row r="57" spans="1:7" x14ac:dyDescent="0.3">
      <c r="A57" s="25">
        <v>46029</v>
      </c>
      <c r="B57" s="13">
        <v>2274.1</v>
      </c>
      <c r="C57" s="13">
        <f>VLOOKUP(A:A,'Nifty 50 '!$A:$B,2,0)</f>
        <v>26140.75</v>
      </c>
      <c r="D57" s="13">
        <f t="shared" si="0"/>
        <v>-2.6783535448801441E-2</v>
      </c>
      <c r="E57" s="13">
        <f t="shared" si="0"/>
        <v>-1.0146652830525118E-2</v>
      </c>
      <c r="G57" s="4"/>
    </row>
    <row r="58" spans="1:7" x14ac:dyDescent="0.3">
      <c r="A58" s="25">
        <v>46028</v>
      </c>
      <c r="B58" s="13">
        <v>2259.1</v>
      </c>
      <c r="C58" s="13">
        <f>VLOOKUP(A:A,'Nifty 50 '!$A:$B,2,0)</f>
        <v>26178.7</v>
      </c>
      <c r="D58" s="13">
        <f t="shared" si="0"/>
        <v>6.617865854206947E-3</v>
      </c>
      <c r="E58" s="13">
        <f t="shared" si="0"/>
        <v>-1.4507035779470466E-3</v>
      </c>
      <c r="G58" s="4"/>
    </row>
    <row r="59" spans="1:7" x14ac:dyDescent="0.3">
      <c r="A59" s="25">
        <v>46027</v>
      </c>
      <c r="B59" s="13">
        <v>2279.5</v>
      </c>
      <c r="C59" s="13">
        <f>VLOOKUP(A:A,'Nifty 50 '!$A:$B,2,0)</f>
        <v>26250.3</v>
      </c>
      <c r="D59" s="13">
        <f t="shared" si="0"/>
        <v>-8.9896167903195743E-3</v>
      </c>
      <c r="E59" s="13">
        <f t="shared" si="0"/>
        <v>-2.7313145210397867E-3</v>
      </c>
      <c r="G59" s="4"/>
    </row>
    <row r="60" spans="1:7" x14ac:dyDescent="0.3">
      <c r="A60" s="25">
        <v>46024</v>
      </c>
      <c r="B60" s="13">
        <v>2279.8000000000002</v>
      </c>
      <c r="C60" s="13">
        <f>VLOOKUP(A:A,'Nifty 50 '!$A:$B,2,0)</f>
        <v>26328.55</v>
      </c>
      <c r="D60" s="13">
        <f t="shared" si="0"/>
        <v>-1.315991491822168E-4</v>
      </c>
      <c r="E60" s="13">
        <f t="shared" si="0"/>
        <v>-2.9764841859812588E-3</v>
      </c>
      <c r="G60" s="4"/>
    </row>
    <row r="61" spans="1:7" x14ac:dyDescent="0.3">
      <c r="A61" s="25">
        <v>46023</v>
      </c>
      <c r="B61" s="13">
        <v>2260</v>
      </c>
      <c r="C61" s="13">
        <f>VLOOKUP(A:A,'Nifty 50 '!$A:$B,2,0)</f>
        <v>26146.55</v>
      </c>
      <c r="D61" s="13">
        <f t="shared" si="0"/>
        <v>8.7229065363467126E-3</v>
      </c>
      <c r="E61" s="13">
        <f t="shared" si="0"/>
        <v>6.9366510888350273E-3</v>
      </c>
      <c r="G61" s="4"/>
    </row>
    <row r="62" spans="1:7" x14ac:dyDescent="0.3">
      <c r="A62" s="25">
        <v>46022</v>
      </c>
      <c r="B62" s="13">
        <v>2239.6999999999998</v>
      </c>
      <c r="C62" s="13">
        <f>VLOOKUP(A:A,'Nifty 50 '!$A:$B,2,0)</f>
        <v>26129.599999999999</v>
      </c>
      <c r="D62" s="13">
        <f t="shared" si="0"/>
        <v>9.0228849579065719E-3</v>
      </c>
      <c r="E62" s="13">
        <f t="shared" si="0"/>
        <v>6.4847930056033236E-4</v>
      </c>
      <c r="G62" s="4"/>
    </row>
    <row r="63" spans="1:7" x14ac:dyDescent="0.3">
      <c r="A63" s="25">
        <v>46021</v>
      </c>
      <c r="B63" s="13">
        <v>2214.6999999999998</v>
      </c>
      <c r="C63" s="13">
        <f>VLOOKUP(A:A,'Nifty 50 '!$A:$B,2,0)</f>
        <v>25938.85</v>
      </c>
      <c r="D63" s="13">
        <f t="shared" si="0"/>
        <v>1.1224974182625495E-2</v>
      </c>
      <c r="E63" s="13">
        <f t="shared" si="0"/>
        <v>7.3269265111137747E-3</v>
      </c>
      <c r="G63" s="4"/>
    </row>
    <row r="64" spans="1:7" x14ac:dyDescent="0.3">
      <c r="A64" s="25">
        <v>46020</v>
      </c>
      <c r="B64" s="13">
        <v>2203.1999999999998</v>
      </c>
      <c r="C64" s="13">
        <f>VLOOKUP(A:A,'Nifty 50 '!$A:$B,2,0)</f>
        <v>25942.1</v>
      </c>
      <c r="D64" s="13">
        <f t="shared" si="0"/>
        <v>5.2061051514092939E-3</v>
      </c>
      <c r="E64" s="13">
        <f t="shared" si="0"/>
        <v>-1.2528683473419944E-4</v>
      </c>
      <c r="G64" s="4"/>
    </row>
    <row r="65" spans="1:7" x14ac:dyDescent="0.3">
      <c r="A65" s="25">
        <v>46017</v>
      </c>
      <c r="B65" s="13">
        <v>2229.9</v>
      </c>
      <c r="C65" s="13">
        <f>VLOOKUP(A:A,'Nifty 50 '!$A:$B,2,0)</f>
        <v>26042.3</v>
      </c>
      <c r="D65" s="13">
        <f t="shared" si="0"/>
        <v>-1.2045892424967236E-2</v>
      </c>
      <c r="E65" s="13">
        <f t="shared" si="0"/>
        <v>-3.8550074287673655E-3</v>
      </c>
      <c r="G65" s="4"/>
    </row>
    <row r="66" spans="1:7" x14ac:dyDescent="0.3">
      <c r="A66" s="25">
        <v>46015</v>
      </c>
      <c r="B66" s="13">
        <v>2222.6999999999998</v>
      </c>
      <c r="C66" s="13">
        <f>VLOOKUP(A:A,'Nifty 50 '!$A:$B,2,0)</f>
        <v>26142.1</v>
      </c>
      <c r="D66" s="13">
        <f t="shared" si="0"/>
        <v>3.2340683086366593E-3</v>
      </c>
      <c r="E66" s="13">
        <f t="shared" si="0"/>
        <v>-3.8249025253447363E-3</v>
      </c>
      <c r="G66" s="4"/>
    </row>
    <row r="67" spans="1:7" x14ac:dyDescent="0.3">
      <c r="A67" s="25">
        <v>46014</v>
      </c>
      <c r="B67" s="13">
        <v>2248.8000000000002</v>
      </c>
      <c r="C67" s="13">
        <f>VLOOKUP(A:A,'Nifty 50 '!$A:$B,2,0)</f>
        <v>26177.15</v>
      </c>
      <c r="D67" s="13">
        <f t="shared" si="0"/>
        <v>-1.1674067501601408E-2</v>
      </c>
      <c r="E67" s="13">
        <f t="shared" si="0"/>
        <v>-1.3398512113031755E-3</v>
      </c>
      <c r="G67" s="4"/>
    </row>
    <row r="68" spans="1:7" x14ac:dyDescent="0.3">
      <c r="A68" s="25">
        <v>46013</v>
      </c>
      <c r="B68" s="13">
        <v>2263.5</v>
      </c>
      <c r="C68" s="13">
        <f>VLOOKUP(A:A,'Nifty 50 '!$A:$B,2,0)</f>
        <v>26172.400000000001</v>
      </c>
      <c r="D68" s="13">
        <f t="shared" ref="D68:E131" si="1">LN(B67/B68)</f>
        <v>-6.5155472836910837E-3</v>
      </c>
      <c r="E68" s="13">
        <f t="shared" si="1"/>
        <v>1.8147242958299996E-4</v>
      </c>
      <c r="G68" s="4"/>
    </row>
    <row r="69" spans="1:7" x14ac:dyDescent="0.3">
      <c r="A69" s="25">
        <v>46010</v>
      </c>
      <c r="B69" s="13">
        <v>2239</v>
      </c>
      <c r="C69" s="13">
        <f>VLOOKUP(A:A,'Nifty 50 '!$A:$B,2,0)</f>
        <v>25966.400000000001</v>
      </c>
      <c r="D69" s="13">
        <f t="shared" si="1"/>
        <v>1.0882950277258453E-2</v>
      </c>
      <c r="E69" s="13">
        <f t="shared" si="1"/>
        <v>7.9020258203139574E-3</v>
      </c>
      <c r="G69" s="4"/>
    </row>
    <row r="70" spans="1:7" x14ac:dyDescent="0.3">
      <c r="A70" s="25">
        <v>46009</v>
      </c>
      <c r="B70" s="13">
        <v>2229.3000000000002</v>
      </c>
      <c r="C70" s="13">
        <f>VLOOKUP(A:A,'Nifty 50 '!$A:$B,2,0)</f>
        <v>25815.55</v>
      </c>
      <c r="D70" s="13">
        <f t="shared" si="1"/>
        <v>4.3417027672214741E-3</v>
      </c>
      <c r="E70" s="13">
        <f t="shared" si="1"/>
        <v>5.8263710322537339E-3</v>
      </c>
      <c r="G70" s="4"/>
    </row>
    <row r="71" spans="1:7" x14ac:dyDescent="0.3">
      <c r="A71" s="25">
        <v>46008</v>
      </c>
      <c r="B71" s="13">
        <v>2232.5</v>
      </c>
      <c r="C71" s="13">
        <f>VLOOKUP(A:A,'Nifty 50 '!$A:$B,2,0)</f>
        <v>25818.55</v>
      </c>
      <c r="D71" s="13">
        <f t="shared" si="1"/>
        <v>-1.4343989191207219E-3</v>
      </c>
      <c r="E71" s="13">
        <f t="shared" si="1"/>
        <v>-1.1620227730800423E-4</v>
      </c>
      <c r="G71" s="4"/>
    </row>
    <row r="72" spans="1:7" x14ac:dyDescent="0.3">
      <c r="A72" s="25">
        <v>46007</v>
      </c>
      <c r="B72" s="13">
        <v>2247.9</v>
      </c>
      <c r="C72" s="13">
        <f>VLOOKUP(A:A,'Nifty 50 '!$A:$B,2,0)</f>
        <v>25860.1</v>
      </c>
      <c r="D72" s="13">
        <f t="shared" si="1"/>
        <v>-6.8744132877206609E-3</v>
      </c>
      <c r="E72" s="13">
        <f t="shared" si="1"/>
        <v>-1.6080144877245483E-3</v>
      </c>
      <c r="G72" s="4"/>
    </row>
    <row r="73" spans="1:7" x14ac:dyDescent="0.3">
      <c r="A73" s="25">
        <v>46006</v>
      </c>
      <c r="B73" s="13">
        <v>2278.9</v>
      </c>
      <c r="C73" s="13">
        <f>VLOOKUP(A:A,'Nifty 50 '!$A:$B,2,0)</f>
        <v>26027.3</v>
      </c>
      <c r="D73" s="13">
        <f t="shared" si="1"/>
        <v>-1.3696423350350831E-2</v>
      </c>
      <c r="E73" s="13">
        <f t="shared" si="1"/>
        <v>-6.4447468447940094E-3</v>
      </c>
      <c r="G73" s="4"/>
    </row>
    <row r="74" spans="1:7" x14ac:dyDescent="0.3">
      <c r="A74" s="25">
        <v>46003</v>
      </c>
      <c r="B74" s="13">
        <v>2282.4</v>
      </c>
      <c r="C74" s="13">
        <f>VLOOKUP(A:A,'Nifty 50 '!$A:$B,2,0)</f>
        <v>26046.95</v>
      </c>
      <c r="D74" s="13">
        <f t="shared" si="1"/>
        <v>-1.5346505105647181E-3</v>
      </c>
      <c r="E74" s="13">
        <f t="shared" si="1"/>
        <v>-7.5469165403843695E-4</v>
      </c>
      <c r="G74" s="4"/>
    </row>
    <row r="75" spans="1:7" x14ac:dyDescent="0.3">
      <c r="A75" s="25">
        <v>46002</v>
      </c>
      <c r="B75" s="13">
        <v>2277.6999999999998</v>
      </c>
      <c r="C75" s="13">
        <f>VLOOKUP(A:A,'Nifty 50 '!$A:$B,2,0)</f>
        <v>25898.55</v>
      </c>
      <c r="D75" s="13">
        <f t="shared" si="1"/>
        <v>2.0613590334731657E-3</v>
      </c>
      <c r="E75" s="13">
        <f t="shared" si="1"/>
        <v>5.7136962287779947E-3</v>
      </c>
      <c r="G75" s="4"/>
    </row>
    <row r="76" spans="1:7" x14ac:dyDescent="0.3">
      <c r="A76" s="25">
        <v>46001</v>
      </c>
      <c r="B76" s="13">
        <v>2211.6</v>
      </c>
      <c r="C76" s="13">
        <f>VLOOKUP(A:A,'Nifty 50 '!$A:$B,2,0)</f>
        <v>25758</v>
      </c>
      <c r="D76" s="13">
        <f t="shared" si="1"/>
        <v>2.9449926402039306E-2</v>
      </c>
      <c r="E76" s="13">
        <f t="shared" si="1"/>
        <v>5.441724111835208E-3</v>
      </c>
      <c r="G76" s="4"/>
    </row>
    <row r="77" spans="1:7" x14ac:dyDescent="0.3">
      <c r="A77" s="25">
        <v>46000</v>
      </c>
      <c r="B77" s="13">
        <v>2245.1999999999998</v>
      </c>
      <c r="C77" s="13">
        <f>VLOOKUP(A:A,'Nifty 50 '!$A:$B,2,0)</f>
        <v>25839.65</v>
      </c>
      <c r="D77" s="13">
        <f t="shared" si="1"/>
        <v>-1.5078368604266333E-2</v>
      </c>
      <c r="E77" s="13">
        <f t="shared" si="1"/>
        <v>-3.1648754605488705E-3</v>
      </c>
      <c r="G77" s="4"/>
    </row>
    <row r="78" spans="1:7" x14ac:dyDescent="0.3">
      <c r="A78" s="25">
        <v>45999</v>
      </c>
      <c r="B78" s="13">
        <v>2216.1999999999998</v>
      </c>
      <c r="C78" s="13">
        <f>VLOOKUP(A:A,'Nifty 50 '!$A:$B,2,0)</f>
        <v>25960.55</v>
      </c>
      <c r="D78" s="13">
        <f t="shared" si="1"/>
        <v>1.3000586565819216E-2</v>
      </c>
      <c r="E78" s="13">
        <f t="shared" si="1"/>
        <v>-4.6679441211103243E-3</v>
      </c>
      <c r="G78" s="4"/>
    </row>
    <row r="79" spans="1:7" x14ac:dyDescent="0.3">
      <c r="A79" s="25">
        <v>45996</v>
      </c>
      <c r="B79" s="13">
        <v>2265.4</v>
      </c>
      <c r="C79" s="13">
        <f>VLOOKUP(A:A,'Nifty 50 '!$A:$B,2,0)</f>
        <v>26186.45</v>
      </c>
      <c r="D79" s="13">
        <f t="shared" si="1"/>
        <v>-2.1957326264388306E-2</v>
      </c>
      <c r="E79" s="13">
        <f t="shared" si="1"/>
        <v>-8.6640233609803375E-3</v>
      </c>
      <c r="G79" s="4"/>
    </row>
    <row r="80" spans="1:7" x14ac:dyDescent="0.3">
      <c r="A80" s="25">
        <v>45995</v>
      </c>
      <c r="B80" s="13">
        <v>2217.9</v>
      </c>
      <c r="C80" s="13">
        <f>VLOOKUP(A:A,'Nifty 50 '!$A:$B,2,0)</f>
        <v>26033.75</v>
      </c>
      <c r="D80" s="13">
        <f t="shared" si="1"/>
        <v>2.1190541535449175E-2</v>
      </c>
      <c r="E80" s="13">
        <f t="shared" si="1"/>
        <v>5.8483282420290989E-3</v>
      </c>
      <c r="G80" s="4"/>
    </row>
    <row r="81" spans="1:7" x14ac:dyDescent="0.3">
      <c r="A81" s="25">
        <v>45994</v>
      </c>
      <c r="B81" s="13">
        <v>2189.8000000000002</v>
      </c>
      <c r="C81" s="13">
        <f>VLOOKUP(A:A,'Nifty 50 '!$A:$B,2,0)</f>
        <v>25986</v>
      </c>
      <c r="D81" s="13">
        <f t="shared" si="1"/>
        <v>1.2750586791839448E-2</v>
      </c>
      <c r="E81" s="13">
        <f t="shared" si="1"/>
        <v>1.8358417105443499E-3</v>
      </c>
      <c r="G81" s="4"/>
    </row>
    <row r="82" spans="1:7" x14ac:dyDescent="0.3">
      <c r="A82" s="25">
        <v>45993</v>
      </c>
      <c r="B82" s="13">
        <v>2239.6</v>
      </c>
      <c r="C82" s="13">
        <f>VLOOKUP(A:A,'Nifty 50 '!$A:$B,2,0)</f>
        <v>26032.2</v>
      </c>
      <c r="D82" s="13">
        <f t="shared" si="1"/>
        <v>-2.2487063035413625E-2</v>
      </c>
      <c r="E82" s="13">
        <f t="shared" si="1"/>
        <v>-1.7763018384990476E-3</v>
      </c>
      <c r="G82" s="4"/>
    </row>
    <row r="83" spans="1:7" x14ac:dyDescent="0.3">
      <c r="A83" s="25">
        <v>45992</v>
      </c>
      <c r="B83" s="13">
        <v>2262</v>
      </c>
      <c r="C83" s="13">
        <f>VLOOKUP(A:A,'Nifty 50 '!$A:$B,2,0)</f>
        <v>26175.75</v>
      </c>
      <c r="D83" s="13">
        <f t="shared" si="1"/>
        <v>-9.9520992013276115E-3</v>
      </c>
      <c r="E83" s="13">
        <f t="shared" si="1"/>
        <v>-5.4991763421880138E-3</v>
      </c>
      <c r="G83" s="4"/>
    </row>
    <row r="84" spans="1:7" x14ac:dyDescent="0.3">
      <c r="A84" s="25">
        <v>45989</v>
      </c>
      <c r="B84" s="13">
        <v>2280.1999999999998</v>
      </c>
      <c r="C84" s="13">
        <f>VLOOKUP(A:A,'Nifty 50 '!$A:$B,2,0)</f>
        <v>26202.95</v>
      </c>
      <c r="D84" s="13">
        <f t="shared" si="1"/>
        <v>-8.0137807235535433E-3</v>
      </c>
      <c r="E84" s="13">
        <f t="shared" si="1"/>
        <v>-1.0385902072783048E-3</v>
      </c>
      <c r="G84" s="4"/>
    </row>
    <row r="85" spans="1:7" x14ac:dyDescent="0.3">
      <c r="A85" s="25">
        <v>45988</v>
      </c>
      <c r="B85" s="13">
        <v>2255</v>
      </c>
      <c r="C85" s="13">
        <f>VLOOKUP(A:A,'Nifty 50 '!$A:$B,2,0)</f>
        <v>26215.55</v>
      </c>
      <c r="D85" s="13">
        <f t="shared" si="1"/>
        <v>1.111318546284051E-2</v>
      </c>
      <c r="E85" s="13">
        <f t="shared" si="1"/>
        <v>-4.8074631066023429E-4</v>
      </c>
      <c r="G85" s="4"/>
    </row>
    <row r="86" spans="1:7" x14ac:dyDescent="0.3">
      <c r="A86" s="25">
        <v>45987</v>
      </c>
      <c r="B86" s="13">
        <v>2315</v>
      </c>
      <c r="C86" s="13">
        <f>VLOOKUP(A:A,'Nifty 50 '!$A:$B,2,0)</f>
        <v>26205.3</v>
      </c>
      <c r="D86" s="13">
        <f t="shared" si="1"/>
        <v>-2.625971458355577E-2</v>
      </c>
      <c r="E86" s="13">
        <f t="shared" si="1"/>
        <v>3.9106577366173836E-4</v>
      </c>
      <c r="G86" s="4"/>
    </row>
    <row r="87" spans="1:7" x14ac:dyDescent="0.3">
      <c r="A87" s="25">
        <v>45986</v>
      </c>
      <c r="B87" s="13">
        <v>2332.9</v>
      </c>
      <c r="C87" s="13">
        <f>VLOOKUP(A:A,'Nifty 50 '!$A:$B,2,0)</f>
        <v>25884.799999999999</v>
      </c>
      <c r="D87" s="13">
        <f t="shared" si="1"/>
        <v>-7.7024413162586104E-3</v>
      </c>
      <c r="E87" s="13">
        <f t="shared" si="1"/>
        <v>1.2305756544011975E-2</v>
      </c>
      <c r="G87" s="4"/>
    </row>
    <row r="88" spans="1:7" x14ac:dyDescent="0.3">
      <c r="A88" s="25">
        <v>45985</v>
      </c>
      <c r="B88" s="13">
        <v>2399.1999999999998</v>
      </c>
      <c r="C88" s="13">
        <f>VLOOKUP(A:A,'Nifty 50 '!$A:$B,2,0)</f>
        <v>25959.5</v>
      </c>
      <c r="D88" s="13">
        <f t="shared" si="1"/>
        <v>-2.8023219598206202E-2</v>
      </c>
      <c r="E88" s="13">
        <f t="shared" si="1"/>
        <v>-2.8817074082925676E-3</v>
      </c>
      <c r="G88" s="4"/>
    </row>
    <row r="89" spans="1:7" x14ac:dyDescent="0.3">
      <c r="A89" s="25">
        <v>45982</v>
      </c>
      <c r="B89" s="13">
        <v>2422.3000000000002</v>
      </c>
      <c r="C89" s="13">
        <f>VLOOKUP(A:A,'Nifty 50 '!$A:$B,2,0)</f>
        <v>26068.15</v>
      </c>
      <c r="D89" s="13">
        <f t="shared" si="1"/>
        <v>-9.5821535823869836E-3</v>
      </c>
      <c r="E89" s="13">
        <f t="shared" si="1"/>
        <v>-4.1766313851615104E-3</v>
      </c>
      <c r="G89" s="4"/>
    </row>
    <row r="90" spans="1:7" x14ac:dyDescent="0.3">
      <c r="A90" s="25">
        <v>45981</v>
      </c>
      <c r="B90" s="13">
        <v>2446.1</v>
      </c>
      <c r="C90" s="13">
        <f>VLOOKUP(A:A,'Nifty 50 '!$A:$B,2,0)</f>
        <v>26192.15</v>
      </c>
      <c r="D90" s="13">
        <f t="shared" si="1"/>
        <v>-9.777417468648528E-3</v>
      </c>
      <c r="E90" s="13">
        <f t="shared" si="1"/>
        <v>-4.7454849169532316E-3</v>
      </c>
      <c r="G90" s="4"/>
    </row>
    <row r="91" spans="1:7" x14ac:dyDescent="0.3">
      <c r="A91" s="25">
        <v>45980</v>
      </c>
      <c r="B91" s="13">
        <v>2433.1</v>
      </c>
      <c r="C91" s="13">
        <f>VLOOKUP(A:A,'Nifty 50 '!$A:$B,2,0)</f>
        <v>26052.65</v>
      </c>
      <c r="D91" s="13">
        <f t="shared" si="1"/>
        <v>5.3287550262003328E-3</v>
      </c>
      <c r="E91" s="13">
        <f t="shared" si="1"/>
        <v>5.3402570791968307E-3</v>
      </c>
      <c r="G91" s="4"/>
    </row>
    <row r="92" spans="1:7" x14ac:dyDescent="0.3">
      <c r="A92" s="25">
        <v>45979</v>
      </c>
      <c r="B92" s="13">
        <v>2436.8000000000002</v>
      </c>
      <c r="C92" s="13">
        <f>VLOOKUP(A:A,'Nifty 50 '!$A:$B,2,0)</f>
        <v>25910.05</v>
      </c>
      <c r="D92" s="13">
        <f t="shared" si="1"/>
        <v>-1.5195386812630015E-3</v>
      </c>
      <c r="E92" s="13">
        <f t="shared" si="1"/>
        <v>5.488566143699687E-3</v>
      </c>
      <c r="G92" s="4"/>
    </row>
    <row r="93" spans="1:7" x14ac:dyDescent="0.3">
      <c r="A93" s="25">
        <v>45978</v>
      </c>
      <c r="B93" s="13">
        <v>2462</v>
      </c>
      <c r="C93" s="13">
        <f>VLOOKUP(A:A,'Nifty 50 '!$A:$B,2,0)</f>
        <v>26013.45</v>
      </c>
      <c r="D93" s="13">
        <f t="shared" si="1"/>
        <v>-1.0288324603501365E-2</v>
      </c>
      <c r="E93" s="13">
        <f t="shared" si="1"/>
        <v>-3.9827876272854204E-3</v>
      </c>
      <c r="G93" s="4"/>
    </row>
    <row r="94" spans="1:7" x14ac:dyDescent="0.3">
      <c r="A94" s="25">
        <v>45975</v>
      </c>
      <c r="B94" s="13">
        <v>2440</v>
      </c>
      <c r="C94" s="13">
        <f>VLOOKUP(A:A,'Nifty 50 '!$A:$B,2,0)</f>
        <v>25910.05</v>
      </c>
      <c r="D94" s="13">
        <f t="shared" si="1"/>
        <v>8.9759884571513765E-3</v>
      </c>
      <c r="E94" s="13">
        <f t="shared" si="1"/>
        <v>3.9827876272855566E-3</v>
      </c>
      <c r="G94" s="4"/>
    </row>
    <row r="95" spans="1:7" x14ac:dyDescent="0.3">
      <c r="A95" s="25">
        <v>45974</v>
      </c>
      <c r="B95" s="13">
        <v>2412.27</v>
      </c>
      <c r="C95" s="13">
        <f>VLOOKUP(A:A,'Nifty 50 '!$A:$B,2,0)</f>
        <v>25879.15</v>
      </c>
      <c r="D95" s="13">
        <f t="shared" si="1"/>
        <v>1.1429826406511811E-2</v>
      </c>
      <c r="E95" s="13">
        <f t="shared" si="1"/>
        <v>1.193299130579461E-3</v>
      </c>
      <c r="G95" s="4"/>
    </row>
    <row r="96" spans="1:7" x14ac:dyDescent="0.3">
      <c r="A96" s="25">
        <v>45973</v>
      </c>
      <c r="B96" s="13">
        <v>2484.5</v>
      </c>
      <c r="C96" s="13">
        <f>VLOOKUP(A:A,'Nifty 50 '!$A:$B,2,0)</f>
        <v>25875.8</v>
      </c>
      <c r="D96" s="13">
        <f t="shared" si="1"/>
        <v>-2.950321916163948E-2</v>
      </c>
      <c r="E96" s="13">
        <f t="shared" si="1"/>
        <v>1.2945621644613778E-4</v>
      </c>
      <c r="G96" s="4"/>
    </row>
    <row r="97" spans="1:7" x14ac:dyDescent="0.3">
      <c r="A97" s="25">
        <v>45972</v>
      </c>
      <c r="B97" s="13">
        <v>2294.58</v>
      </c>
      <c r="C97" s="13">
        <f>VLOOKUP(A:A,'Nifty 50 '!$A:$B,2,0)</f>
        <v>25694.95</v>
      </c>
      <c r="D97" s="13">
        <f t="shared" si="1"/>
        <v>7.9521611831416816E-2</v>
      </c>
      <c r="E97" s="13">
        <f t="shared" si="1"/>
        <v>7.0136944435542489E-3</v>
      </c>
      <c r="G97" s="4"/>
    </row>
    <row r="98" spans="1:7" x14ac:dyDescent="0.3">
      <c r="A98" s="25">
        <v>45971</v>
      </c>
      <c r="B98" s="13">
        <v>2298.36</v>
      </c>
      <c r="C98" s="13">
        <f>VLOOKUP(A:A,'Nifty 50 '!$A:$B,2,0)</f>
        <v>25574.35</v>
      </c>
      <c r="D98" s="13">
        <f t="shared" si="1"/>
        <v>-1.6460048916117783E-3</v>
      </c>
      <c r="E98" s="13">
        <f t="shared" si="1"/>
        <v>4.7045784684853244E-3</v>
      </c>
      <c r="G98" s="4"/>
    </row>
    <row r="99" spans="1:7" x14ac:dyDescent="0.3">
      <c r="A99" s="25">
        <v>45968</v>
      </c>
      <c r="B99" s="13">
        <v>2369.4</v>
      </c>
      <c r="C99" s="13">
        <f>VLOOKUP(A:A,'Nifty 50 '!$A:$B,2,0)</f>
        <v>25492.3</v>
      </c>
      <c r="D99" s="13">
        <f t="shared" si="1"/>
        <v>-3.0440933418088588E-2</v>
      </c>
      <c r="E99" s="13">
        <f t="shared" si="1"/>
        <v>3.2134502892125225E-3</v>
      </c>
      <c r="G99" s="4"/>
    </row>
    <row r="100" spans="1:7" x14ac:dyDescent="0.3">
      <c r="A100" s="25">
        <v>45967</v>
      </c>
      <c r="B100" s="13">
        <v>2314.3000000000002</v>
      </c>
      <c r="C100" s="13">
        <f>VLOOKUP(A:A,'Nifty 50 '!$A:$B,2,0)</f>
        <v>25509.7</v>
      </c>
      <c r="D100" s="13">
        <f t="shared" si="1"/>
        <v>2.3529492535042308E-2</v>
      </c>
      <c r="E100" s="13">
        <f t="shared" si="1"/>
        <v>-6.8232620975946482E-4</v>
      </c>
      <c r="G100" s="4"/>
    </row>
    <row r="101" spans="1:7" x14ac:dyDescent="0.3">
      <c r="A101" s="25">
        <v>45965</v>
      </c>
      <c r="B101" s="13">
        <v>2419.8000000000002</v>
      </c>
      <c r="C101" s="13">
        <f>VLOOKUP(A:A,'Nifty 50 '!$A:$B,2,0)</f>
        <v>25597.65</v>
      </c>
      <c r="D101" s="13">
        <f t="shared" si="1"/>
        <v>-4.4577626121761096E-2</v>
      </c>
      <c r="E101" s="13">
        <f t="shared" si="1"/>
        <v>-3.4417784064369639E-3</v>
      </c>
      <c r="G101" s="4"/>
    </row>
    <row r="102" spans="1:7" x14ac:dyDescent="0.3">
      <c r="A102" s="25">
        <v>45964</v>
      </c>
      <c r="B102" s="13">
        <v>2467</v>
      </c>
      <c r="C102" s="13">
        <f>VLOOKUP(A:A,'Nifty 50 '!$A:$B,2,0)</f>
        <v>25763.35</v>
      </c>
      <c r="D102" s="13">
        <f t="shared" si="1"/>
        <v>-1.9317945421979128E-2</v>
      </c>
      <c r="E102" s="13">
        <f t="shared" si="1"/>
        <v>-6.4523889677539662E-3</v>
      </c>
      <c r="G102" s="4"/>
    </row>
    <row r="103" spans="1:7" x14ac:dyDescent="0.3">
      <c r="A103" s="25">
        <v>45961</v>
      </c>
      <c r="B103" s="13">
        <v>2481</v>
      </c>
      <c r="C103" s="13">
        <f>VLOOKUP(A:A,'Nifty 50 '!$A:$B,2,0)</f>
        <v>25722.1</v>
      </c>
      <c r="D103" s="13">
        <f t="shared" si="1"/>
        <v>-5.6588671624442912E-3</v>
      </c>
      <c r="E103" s="13">
        <f t="shared" si="1"/>
        <v>1.6023948057699113E-3</v>
      </c>
      <c r="G103" s="4"/>
    </row>
    <row r="104" spans="1:7" x14ac:dyDescent="0.3">
      <c r="A104" s="25">
        <v>45960</v>
      </c>
      <c r="B104" s="13">
        <v>2526.9</v>
      </c>
      <c r="C104" s="13">
        <f>VLOOKUP(A:A,'Nifty 50 '!$A:$B,2,0)</f>
        <v>25877.85</v>
      </c>
      <c r="D104" s="13">
        <f t="shared" si="1"/>
        <v>-1.8331550297626755E-2</v>
      </c>
      <c r="E104" s="13">
        <f t="shared" si="1"/>
        <v>-6.0368458886522298E-3</v>
      </c>
      <c r="G104" s="4"/>
    </row>
    <row r="105" spans="1:7" x14ac:dyDescent="0.3">
      <c r="A105" s="25">
        <v>45959</v>
      </c>
      <c r="B105" s="13">
        <v>2537.4</v>
      </c>
      <c r="C105" s="13">
        <f>VLOOKUP(A:A,'Nifty 50 '!$A:$B,2,0)</f>
        <v>26053.9</v>
      </c>
      <c r="D105" s="13">
        <f t="shared" si="1"/>
        <v>-4.1466797170701666E-3</v>
      </c>
      <c r="E105" s="13">
        <f t="shared" si="1"/>
        <v>-6.7800786382074861E-3</v>
      </c>
      <c r="G105" s="4"/>
    </row>
    <row r="106" spans="1:7" x14ac:dyDescent="0.3">
      <c r="A106" s="25">
        <v>45958</v>
      </c>
      <c r="B106" s="13">
        <v>2494.4</v>
      </c>
      <c r="C106" s="13">
        <f>VLOOKUP(A:A,'Nifty 50 '!$A:$B,2,0)</f>
        <v>25936.2</v>
      </c>
      <c r="D106" s="13">
        <f t="shared" si="1"/>
        <v>1.7091715402985742E-2</v>
      </c>
      <c r="E106" s="13">
        <f t="shared" si="1"/>
        <v>4.5277928328536733E-3</v>
      </c>
      <c r="G106" s="4"/>
    </row>
    <row r="107" spans="1:7" x14ac:dyDescent="0.3">
      <c r="A107" s="25">
        <v>45957</v>
      </c>
      <c r="B107" s="13">
        <v>2492.8000000000002</v>
      </c>
      <c r="C107" s="13">
        <f>VLOOKUP(A:A,'Nifty 50 '!$A:$B,2,0)</f>
        <v>25966.05</v>
      </c>
      <c r="D107" s="13">
        <f t="shared" si="1"/>
        <v>6.4164262708281817E-4</v>
      </c>
      <c r="E107" s="13">
        <f t="shared" si="1"/>
        <v>-1.1502392783005436E-3</v>
      </c>
      <c r="G107" s="4"/>
    </row>
    <row r="108" spans="1:7" x14ac:dyDescent="0.3">
      <c r="A108" s="25">
        <v>45954</v>
      </c>
      <c r="B108" s="13">
        <v>2504.1999999999998</v>
      </c>
      <c r="C108" s="13">
        <f>VLOOKUP(A:A,'Nifty 50 '!$A:$B,2,0)</f>
        <v>25795.15</v>
      </c>
      <c r="D108" s="13">
        <f t="shared" si="1"/>
        <v>-4.5627455584180609E-3</v>
      </c>
      <c r="E108" s="13">
        <f t="shared" si="1"/>
        <v>6.603425771068816E-3</v>
      </c>
      <c r="G108" s="4"/>
    </row>
    <row r="109" spans="1:7" x14ac:dyDescent="0.3">
      <c r="A109" s="25">
        <v>45953</v>
      </c>
      <c r="B109" s="13">
        <v>2545.8000000000002</v>
      </c>
      <c r="C109" s="13">
        <f>VLOOKUP(A:A,'Nifty 50 '!$A:$B,2,0)</f>
        <v>25891.4</v>
      </c>
      <c r="D109" s="13">
        <f t="shared" si="1"/>
        <v>-1.6475620201486983E-2</v>
      </c>
      <c r="E109" s="13">
        <f t="shared" si="1"/>
        <v>-3.7243774737084727E-3</v>
      </c>
      <c r="G109" s="4"/>
    </row>
    <row r="110" spans="1:7" x14ac:dyDescent="0.3">
      <c r="A110" s="25">
        <v>45951</v>
      </c>
      <c r="B110" s="13">
        <v>2549.9</v>
      </c>
      <c r="C110" s="13">
        <f>VLOOKUP(A:A,'Nifty 50 '!$A:$B,2,0)</f>
        <v>25868.6</v>
      </c>
      <c r="D110" s="13">
        <f t="shared" si="1"/>
        <v>-1.6092002609080184E-3</v>
      </c>
      <c r="E110" s="13">
        <f t="shared" si="1"/>
        <v>8.8098923781576393E-4</v>
      </c>
      <c r="G110" s="4"/>
    </row>
    <row r="111" spans="1:7" x14ac:dyDescent="0.3">
      <c r="A111" s="25">
        <v>45950</v>
      </c>
      <c r="B111" s="13">
        <v>2548.1</v>
      </c>
      <c r="C111" s="13">
        <f>VLOOKUP(A:A,'Nifty 50 '!$A:$B,2,0)</f>
        <v>25843.15</v>
      </c>
      <c r="D111" s="13">
        <f t="shared" si="1"/>
        <v>7.0615930749277521E-4</v>
      </c>
      <c r="E111" s="13">
        <f t="shared" si="1"/>
        <v>9.8430248656327583E-4</v>
      </c>
      <c r="G111" s="4"/>
    </row>
    <row r="112" spans="1:7" x14ac:dyDescent="0.3">
      <c r="A112" s="25">
        <v>45947</v>
      </c>
      <c r="B112" s="13">
        <v>2549.4</v>
      </c>
      <c r="C112" s="13">
        <f>VLOOKUP(A:A,'Nifty 50 '!$A:$B,2,0)</f>
        <v>25709.85</v>
      </c>
      <c r="D112" s="13">
        <f t="shared" si="1"/>
        <v>-5.1005395907155102E-4</v>
      </c>
      <c r="E112" s="13">
        <f t="shared" si="1"/>
        <v>5.1713885544162376E-3</v>
      </c>
      <c r="G112" s="4"/>
    </row>
    <row r="113" spans="1:7" x14ac:dyDescent="0.3">
      <c r="A113" s="25">
        <v>45946</v>
      </c>
      <c r="B113" s="13">
        <v>2557.6</v>
      </c>
      <c r="C113" s="13">
        <f>VLOOKUP(A:A,'Nifty 50 '!$A:$B,2,0)</f>
        <v>25585.3</v>
      </c>
      <c r="D113" s="13">
        <f t="shared" si="1"/>
        <v>-3.2112813968107638E-3</v>
      </c>
      <c r="E113" s="13">
        <f t="shared" si="1"/>
        <v>4.8562191462695678E-3</v>
      </c>
      <c r="G113" s="4"/>
    </row>
    <row r="114" spans="1:7" x14ac:dyDescent="0.3">
      <c r="A114" s="25">
        <v>45945</v>
      </c>
      <c r="B114" s="13">
        <v>2532.8000000000002</v>
      </c>
      <c r="C114" s="13">
        <f>VLOOKUP(A:A,'Nifty 50 '!$A:$B,2,0)</f>
        <v>25323.55</v>
      </c>
      <c r="D114" s="13">
        <f t="shared" si="1"/>
        <v>9.7439086188839796E-3</v>
      </c>
      <c r="E114" s="13">
        <f t="shared" si="1"/>
        <v>1.0283174989422342E-2</v>
      </c>
      <c r="G114" s="4"/>
    </row>
    <row r="115" spans="1:7" x14ac:dyDescent="0.3">
      <c r="A115" s="25">
        <v>45944</v>
      </c>
      <c r="B115" s="13">
        <v>2517</v>
      </c>
      <c r="C115" s="13">
        <f>VLOOKUP(A:A,'Nifty 50 '!$A:$B,2,0)</f>
        <v>25145.5</v>
      </c>
      <c r="D115" s="13">
        <f t="shared" si="1"/>
        <v>6.2576939914320119E-3</v>
      </c>
      <c r="E115" s="13">
        <f t="shared" si="1"/>
        <v>7.0558387242180077E-3</v>
      </c>
      <c r="G115" s="4"/>
    </row>
    <row r="116" spans="1:7" x14ac:dyDescent="0.3">
      <c r="A116" s="25">
        <v>45943</v>
      </c>
      <c r="B116" s="13">
        <v>2527.4</v>
      </c>
      <c r="C116" s="13">
        <f>VLOOKUP(A:A,'Nifty 50 '!$A:$B,2,0)</f>
        <v>25227.35</v>
      </c>
      <c r="D116" s="13">
        <f t="shared" si="1"/>
        <v>-4.1233901892645105E-3</v>
      </c>
      <c r="E116" s="13">
        <f t="shared" si="1"/>
        <v>-3.2497693513395339E-3</v>
      </c>
      <c r="G116" s="4"/>
    </row>
    <row r="117" spans="1:7" x14ac:dyDescent="0.3">
      <c r="A117" s="25">
        <v>45940</v>
      </c>
      <c r="B117" s="13">
        <v>2550.9</v>
      </c>
      <c r="C117" s="13">
        <f>VLOOKUP(A:A,'Nifty 50 '!$A:$B,2,0)</f>
        <v>25285.35</v>
      </c>
      <c r="D117" s="13">
        <f t="shared" si="1"/>
        <v>-9.2551317352761106E-3</v>
      </c>
      <c r="E117" s="13">
        <f t="shared" si="1"/>
        <v>-2.2964531885856635E-3</v>
      </c>
      <c r="G117" s="4"/>
    </row>
    <row r="118" spans="1:7" x14ac:dyDescent="0.3">
      <c r="A118" s="25">
        <v>45939</v>
      </c>
      <c r="B118" s="13">
        <v>2542.4</v>
      </c>
      <c r="C118" s="13">
        <f>VLOOKUP(A:A,'Nifty 50 '!$A:$B,2,0)</f>
        <v>25181.8</v>
      </c>
      <c r="D118" s="13">
        <f t="shared" si="1"/>
        <v>3.337721277405027E-3</v>
      </c>
      <c r="E118" s="13">
        <f t="shared" si="1"/>
        <v>4.1036652680295424E-3</v>
      </c>
      <c r="G118" s="4"/>
    </row>
    <row r="119" spans="1:7" x14ac:dyDescent="0.3">
      <c r="A119" s="25">
        <v>45938</v>
      </c>
      <c r="B119" s="13">
        <v>2524.1</v>
      </c>
      <c r="C119" s="13">
        <f>VLOOKUP(A:A,'Nifty 50 '!$A:$B,2,0)</f>
        <v>25046.15</v>
      </c>
      <c r="D119" s="13">
        <f t="shared" si="1"/>
        <v>7.2239532548384671E-3</v>
      </c>
      <c r="E119" s="13">
        <f t="shared" si="1"/>
        <v>5.401388262863396E-3</v>
      </c>
      <c r="G119" s="4"/>
    </row>
    <row r="120" spans="1:7" x14ac:dyDescent="0.3">
      <c r="A120" s="25">
        <v>45937</v>
      </c>
      <c r="B120" s="13">
        <v>2542.1999999999998</v>
      </c>
      <c r="C120" s="13">
        <f>VLOOKUP(A:A,'Nifty 50 '!$A:$B,2,0)</f>
        <v>25108.3</v>
      </c>
      <c r="D120" s="13">
        <f t="shared" si="1"/>
        <v>-7.1452843329553647E-3</v>
      </c>
      <c r="E120" s="13">
        <f t="shared" si="1"/>
        <v>-2.4783456627061593E-3</v>
      </c>
      <c r="G120" s="4"/>
    </row>
    <row r="121" spans="1:7" x14ac:dyDescent="0.3">
      <c r="A121" s="25">
        <v>45936</v>
      </c>
      <c r="B121" s="13">
        <v>2573.5</v>
      </c>
      <c r="C121" s="13">
        <f>VLOOKUP(A:A,'Nifty 50 '!$A:$B,2,0)</f>
        <v>25077.65</v>
      </c>
      <c r="D121" s="13">
        <f t="shared" si="1"/>
        <v>-1.2236992232240708E-2</v>
      </c>
      <c r="E121" s="13">
        <f t="shared" si="1"/>
        <v>1.2214575517932756E-3</v>
      </c>
      <c r="G121" s="4"/>
    </row>
    <row r="122" spans="1:7" x14ac:dyDescent="0.3">
      <c r="A122" s="25">
        <v>45933</v>
      </c>
      <c r="B122" s="13">
        <v>2589.9</v>
      </c>
      <c r="C122" s="13">
        <f>VLOOKUP(A:A,'Nifty 50 '!$A:$B,2,0)</f>
        <v>24894.25</v>
      </c>
      <c r="D122" s="13">
        <f t="shared" si="1"/>
        <v>-6.3524248167774458E-3</v>
      </c>
      <c r="E122" s="13">
        <f t="shared" si="1"/>
        <v>7.3401581061951155E-3</v>
      </c>
      <c r="G122" s="4"/>
    </row>
    <row r="123" spans="1:7" x14ac:dyDescent="0.3">
      <c r="A123" s="25">
        <v>45931</v>
      </c>
      <c r="B123" s="13">
        <v>2592.6999999999998</v>
      </c>
      <c r="C123" s="13">
        <f>VLOOKUP(A:A,'Nifty 50 '!$A:$B,2,0)</f>
        <v>24836.3</v>
      </c>
      <c r="D123" s="13">
        <f t="shared" si="1"/>
        <v>-1.0805388308691832E-3</v>
      </c>
      <c r="E123" s="13">
        <f t="shared" si="1"/>
        <v>2.3305604393949906E-3</v>
      </c>
      <c r="G123" s="4"/>
    </row>
    <row r="124" spans="1:7" x14ac:dyDescent="0.3">
      <c r="A124" s="25">
        <v>45930</v>
      </c>
      <c r="B124" s="13">
        <v>2505.9</v>
      </c>
      <c r="C124" s="13">
        <f>VLOOKUP(A:A,'Nifty 50 '!$A:$B,2,0)</f>
        <v>24611.1</v>
      </c>
      <c r="D124" s="13">
        <f t="shared" si="1"/>
        <v>3.4051852310485527E-2</v>
      </c>
      <c r="E124" s="13">
        <f t="shared" si="1"/>
        <v>9.1087319879058007E-3</v>
      </c>
      <c r="G124" s="4"/>
    </row>
    <row r="125" spans="1:7" x14ac:dyDescent="0.3">
      <c r="A125" s="25">
        <v>45929</v>
      </c>
      <c r="B125" s="13">
        <v>2509.5</v>
      </c>
      <c r="C125" s="13">
        <f>VLOOKUP(A:A,'Nifty 50 '!$A:$B,2,0)</f>
        <v>24634.9</v>
      </c>
      <c r="D125" s="13">
        <f t="shared" si="1"/>
        <v>-1.43557866501798E-3</v>
      </c>
      <c r="E125" s="13">
        <f t="shared" si="1"/>
        <v>-9.6657604081426692E-4</v>
      </c>
      <c r="G125" s="4"/>
    </row>
    <row r="126" spans="1:7" x14ac:dyDescent="0.3">
      <c r="A126" s="25">
        <v>45926</v>
      </c>
      <c r="B126" s="13">
        <v>2543.6999999999998</v>
      </c>
      <c r="C126" s="13">
        <f>VLOOKUP(A:A,'Nifty 50 '!$A:$B,2,0)</f>
        <v>24654.7</v>
      </c>
      <c r="D126" s="13">
        <f t="shared" si="1"/>
        <v>-1.3536183883078597E-2</v>
      </c>
      <c r="E126" s="13">
        <f t="shared" si="1"/>
        <v>-8.0341496238696723E-4</v>
      </c>
      <c r="G126" s="4"/>
    </row>
    <row r="127" spans="1:7" x14ac:dyDescent="0.3">
      <c r="A127" s="25">
        <v>45925</v>
      </c>
      <c r="B127" s="13">
        <v>2576.4</v>
      </c>
      <c r="C127" s="13">
        <f>VLOOKUP(A:A,'Nifty 50 '!$A:$B,2,0)</f>
        <v>24890.85</v>
      </c>
      <c r="D127" s="13">
        <f t="shared" si="1"/>
        <v>-1.2773361694668766E-2</v>
      </c>
      <c r="E127" s="13">
        <f t="shared" si="1"/>
        <v>-9.5327143727411273E-3</v>
      </c>
      <c r="G127" s="4"/>
    </row>
    <row r="128" spans="1:7" x14ac:dyDescent="0.3">
      <c r="A128" s="25">
        <v>45924</v>
      </c>
      <c r="B128" s="13">
        <v>2619.8000000000002</v>
      </c>
      <c r="C128" s="13">
        <f>VLOOKUP(A:A,'Nifty 50 '!$A:$B,2,0)</f>
        <v>25056.9</v>
      </c>
      <c r="D128" s="13">
        <f t="shared" si="1"/>
        <v>-1.670490329081286E-2</v>
      </c>
      <c r="E128" s="13">
        <f t="shared" si="1"/>
        <v>-6.6489726459885842E-3</v>
      </c>
      <c r="G128" s="4"/>
    </row>
    <row r="129" spans="1:7" x14ac:dyDescent="0.3">
      <c r="A129" s="25">
        <v>45923</v>
      </c>
      <c r="B129" s="13">
        <v>2676.4</v>
      </c>
      <c r="C129" s="13">
        <f>VLOOKUP(A:A,'Nifty 50 '!$A:$B,2,0)</f>
        <v>25169.5</v>
      </c>
      <c r="D129" s="13">
        <f t="shared" si="1"/>
        <v>-2.1374628945113286E-2</v>
      </c>
      <c r="E129" s="13">
        <f t="shared" si="1"/>
        <v>-4.48370532782927E-3</v>
      </c>
      <c r="G129" s="4"/>
    </row>
    <row r="130" spans="1:7" x14ac:dyDescent="0.3">
      <c r="A130" s="25">
        <v>45922</v>
      </c>
      <c r="B130" s="13">
        <v>2629.5</v>
      </c>
      <c r="C130" s="13">
        <f>VLOOKUP(A:A,'Nifty 50 '!$A:$B,2,0)</f>
        <v>25202.35</v>
      </c>
      <c r="D130" s="13">
        <f t="shared" si="1"/>
        <v>1.7678893879262941E-2</v>
      </c>
      <c r="E130" s="13">
        <f t="shared" si="1"/>
        <v>-1.3043001063899793E-3</v>
      </c>
      <c r="G130" s="4"/>
    </row>
    <row r="131" spans="1:7" x14ac:dyDescent="0.3">
      <c r="A131" s="25">
        <v>45919</v>
      </c>
      <c r="B131" s="13">
        <v>2524</v>
      </c>
      <c r="C131" s="13">
        <f>VLOOKUP(A:A,'Nifty 50 '!$A:$B,2,0)</f>
        <v>25327.05</v>
      </c>
      <c r="D131" s="13">
        <f t="shared" si="1"/>
        <v>4.0948769368295029E-2</v>
      </c>
      <c r="E131" s="13">
        <f t="shared" si="1"/>
        <v>-4.9357504010677988E-3</v>
      </c>
      <c r="G131" s="4"/>
    </row>
    <row r="132" spans="1:7" x14ac:dyDescent="0.3">
      <c r="A132" s="25">
        <v>45918</v>
      </c>
      <c r="B132" s="13">
        <v>2402</v>
      </c>
      <c r="C132" s="13">
        <f>VLOOKUP(A:A,'Nifty 50 '!$A:$B,2,0)</f>
        <v>25423.599999999999</v>
      </c>
      <c r="D132" s="13">
        <f t="shared" ref="D132:E195" si="2">LN(B131/B132)</f>
        <v>4.9543221021174921E-2</v>
      </c>
      <c r="E132" s="13">
        <f t="shared" si="2"/>
        <v>-3.8048819662613634E-3</v>
      </c>
      <c r="G132" s="4"/>
    </row>
    <row r="133" spans="1:7" x14ac:dyDescent="0.3">
      <c r="A133" s="25">
        <v>45917</v>
      </c>
      <c r="B133" s="13">
        <v>2402</v>
      </c>
      <c r="C133" s="13">
        <f>VLOOKUP(A:A,'Nifty 50 '!$A:$B,2,0)</f>
        <v>25330.25</v>
      </c>
      <c r="D133" s="13">
        <f t="shared" si="2"/>
        <v>0</v>
      </c>
      <c r="E133" s="13">
        <f t="shared" si="2"/>
        <v>3.6785428205012871E-3</v>
      </c>
      <c r="G133" s="4"/>
    </row>
    <row r="134" spans="1:7" x14ac:dyDescent="0.3">
      <c r="A134" s="25">
        <v>45916</v>
      </c>
      <c r="B134" s="13">
        <v>2399.4</v>
      </c>
      <c r="C134" s="13">
        <f>VLOOKUP(A:A,'Nifty 50 '!$A:$B,2,0)</f>
        <v>25239.1</v>
      </c>
      <c r="D134" s="13">
        <f t="shared" si="2"/>
        <v>1.0830175591010412E-3</v>
      </c>
      <c r="E134" s="13">
        <f t="shared" si="2"/>
        <v>3.6049543335288465E-3</v>
      </c>
      <c r="G134" s="4"/>
    </row>
    <row r="135" spans="1:7" x14ac:dyDescent="0.3">
      <c r="A135" s="25">
        <v>45915</v>
      </c>
      <c r="B135" s="13">
        <v>2383.4</v>
      </c>
      <c r="C135" s="13">
        <f>VLOOKUP(A:A,'Nifty 50 '!$A:$B,2,0)</f>
        <v>25069.200000000001</v>
      </c>
      <c r="D135" s="13">
        <f t="shared" si="2"/>
        <v>6.6906664241219507E-3</v>
      </c>
      <c r="E135" s="13">
        <f t="shared" si="2"/>
        <v>6.7543783401827241E-3</v>
      </c>
      <c r="G135" s="4"/>
    </row>
    <row r="136" spans="1:7" x14ac:dyDescent="0.3">
      <c r="A136" s="25">
        <v>45912</v>
      </c>
      <c r="B136" s="13">
        <v>2392</v>
      </c>
      <c r="C136" s="13">
        <f>VLOOKUP(A:A,'Nifty 50 '!$A:$B,2,0)</f>
        <v>25114</v>
      </c>
      <c r="D136" s="13">
        <f t="shared" si="2"/>
        <v>-3.6017964138165509E-3</v>
      </c>
      <c r="E136" s="13">
        <f t="shared" si="2"/>
        <v>-1.7854585559052094E-3</v>
      </c>
      <c r="G136" s="4"/>
    </row>
    <row r="137" spans="1:7" x14ac:dyDescent="0.3">
      <c r="A137" s="25">
        <v>45911</v>
      </c>
      <c r="B137" s="13">
        <v>2398.8000000000002</v>
      </c>
      <c r="C137" s="13">
        <f>VLOOKUP(A:A,'Nifty 50 '!$A:$B,2,0)</f>
        <v>25005.5</v>
      </c>
      <c r="D137" s="13">
        <f t="shared" si="2"/>
        <v>-2.8387762238324299E-3</v>
      </c>
      <c r="E137" s="13">
        <f t="shared" si="2"/>
        <v>4.3296588950226811E-3</v>
      </c>
      <c r="G137" s="4"/>
    </row>
    <row r="138" spans="1:7" x14ac:dyDescent="0.3">
      <c r="A138" s="25">
        <v>45910</v>
      </c>
      <c r="B138" s="13">
        <v>2340.1999999999998</v>
      </c>
      <c r="C138" s="13">
        <f>VLOOKUP(A:A,'Nifty 50 '!$A:$B,2,0)</f>
        <v>24973.1</v>
      </c>
      <c r="D138" s="13">
        <f t="shared" si="2"/>
        <v>2.4732216509497213E-2</v>
      </c>
      <c r="E138" s="13">
        <f t="shared" si="2"/>
        <v>1.2965551071398326E-3</v>
      </c>
      <c r="G138" s="4"/>
    </row>
    <row r="139" spans="1:7" x14ac:dyDescent="0.3">
      <c r="A139" s="25">
        <v>45909</v>
      </c>
      <c r="B139" s="13">
        <v>2311.6</v>
      </c>
      <c r="C139" s="13">
        <f>VLOOKUP(A:A,'Nifty 50 '!$A:$B,2,0)</f>
        <v>24868.6</v>
      </c>
      <c r="D139" s="13">
        <f t="shared" si="2"/>
        <v>1.2296470341234621E-2</v>
      </c>
      <c r="E139" s="13">
        <f t="shared" si="2"/>
        <v>4.1932820559463261E-3</v>
      </c>
      <c r="G139" s="4"/>
    </row>
    <row r="140" spans="1:7" x14ac:dyDescent="0.3">
      <c r="A140" s="25">
        <v>45908</v>
      </c>
      <c r="B140" s="13">
        <v>2310.9</v>
      </c>
      <c r="C140" s="13">
        <f>VLOOKUP(A:A,'Nifty 50 '!$A:$B,2,0)</f>
        <v>24773.15</v>
      </c>
      <c r="D140" s="13">
        <f t="shared" si="2"/>
        <v>3.0286641659297002E-4</v>
      </c>
      <c r="E140" s="13">
        <f t="shared" si="2"/>
        <v>3.8455581291435849E-3</v>
      </c>
      <c r="G140" s="4"/>
    </row>
    <row r="141" spans="1:7" x14ac:dyDescent="0.3">
      <c r="A141" s="25">
        <v>45905</v>
      </c>
      <c r="B141" s="13">
        <v>2281.4</v>
      </c>
      <c r="C141" s="13">
        <f>VLOOKUP(A:A,'Nifty 50 '!$A:$B,2,0)</f>
        <v>24741</v>
      </c>
      <c r="D141" s="13">
        <f t="shared" si="2"/>
        <v>1.2847769433232365E-2</v>
      </c>
      <c r="E141" s="13">
        <f t="shared" si="2"/>
        <v>1.2986188601915426E-3</v>
      </c>
      <c r="G141" s="4"/>
    </row>
    <row r="142" spans="1:7" x14ac:dyDescent="0.3">
      <c r="A142" s="25">
        <v>45904</v>
      </c>
      <c r="B142" s="13">
        <v>2278.8000000000002</v>
      </c>
      <c r="C142" s="13">
        <f>VLOOKUP(A:A,'Nifty 50 '!$A:$B,2,0)</f>
        <v>24734.3</v>
      </c>
      <c r="D142" s="13">
        <f t="shared" si="2"/>
        <v>1.1403009875569337E-3</v>
      </c>
      <c r="E142" s="13">
        <f t="shared" si="2"/>
        <v>2.708422198937796E-4</v>
      </c>
      <c r="G142" s="4"/>
    </row>
    <row r="143" spans="1:7" x14ac:dyDescent="0.3">
      <c r="A143" s="25">
        <v>45903</v>
      </c>
      <c r="B143" s="13">
        <v>2288.6999999999998</v>
      </c>
      <c r="C143" s="13">
        <f>VLOOKUP(A:A,'Nifty 50 '!$A:$B,2,0)</f>
        <v>24715.05</v>
      </c>
      <c r="D143" s="13">
        <f t="shared" si="2"/>
        <v>-4.3349821580526944E-3</v>
      </c>
      <c r="E143" s="13">
        <f t="shared" si="2"/>
        <v>7.7857447964071113E-4</v>
      </c>
      <c r="G143" s="4"/>
    </row>
    <row r="144" spans="1:7" x14ac:dyDescent="0.3">
      <c r="A144" s="25">
        <v>45902</v>
      </c>
      <c r="B144" s="13">
        <v>2274.1999999999998</v>
      </c>
      <c r="C144" s="13">
        <f>VLOOKUP(A:A,'Nifty 50 '!$A:$B,2,0)</f>
        <v>24579.599999999999</v>
      </c>
      <c r="D144" s="13">
        <f t="shared" si="2"/>
        <v>6.3556285736707848E-3</v>
      </c>
      <c r="E144" s="13">
        <f t="shared" si="2"/>
        <v>5.495539207320317E-3</v>
      </c>
      <c r="G144" s="4"/>
    </row>
    <row r="145" spans="1:7" x14ac:dyDescent="0.3">
      <c r="A145" s="25">
        <v>45901</v>
      </c>
      <c r="B145" s="13">
        <v>2284.1999999999998</v>
      </c>
      <c r="C145" s="13">
        <f>VLOOKUP(A:A,'Nifty 50 '!$A:$B,2,0)</f>
        <v>24625.05</v>
      </c>
      <c r="D145" s="13">
        <f t="shared" si="2"/>
        <v>-4.3875114258842612E-3</v>
      </c>
      <c r="E145" s="13">
        <f t="shared" si="2"/>
        <v>-1.8473869004707994E-3</v>
      </c>
      <c r="G145" s="4"/>
    </row>
    <row r="146" spans="1:7" x14ac:dyDescent="0.3">
      <c r="A146" s="25">
        <v>45898</v>
      </c>
      <c r="B146" s="13">
        <v>2244.6999999999998</v>
      </c>
      <c r="C146" s="13">
        <f>VLOOKUP(A:A,'Nifty 50 '!$A:$B,2,0)</f>
        <v>24426.85</v>
      </c>
      <c r="D146" s="13">
        <f t="shared" si="2"/>
        <v>1.7443971659006918E-2</v>
      </c>
      <c r="E146" s="13">
        <f t="shared" si="2"/>
        <v>8.0812803848293591E-3</v>
      </c>
      <c r="G146" s="4"/>
    </row>
    <row r="147" spans="1:7" x14ac:dyDescent="0.3">
      <c r="A147" s="25">
        <v>45897</v>
      </c>
      <c r="B147" s="13">
        <v>2275.1999999999998</v>
      </c>
      <c r="C147" s="13">
        <f>VLOOKUP(A:A,'Nifty 50 '!$A:$B,2,0)</f>
        <v>24500.9</v>
      </c>
      <c r="D147" s="13">
        <f t="shared" si="2"/>
        <v>-1.3496078651422029E-2</v>
      </c>
      <c r="E147" s="13">
        <f t="shared" si="2"/>
        <v>-3.0269144417419749E-3</v>
      </c>
      <c r="G147" s="4"/>
    </row>
    <row r="148" spans="1:7" x14ac:dyDescent="0.3">
      <c r="A148" s="25">
        <v>45895</v>
      </c>
      <c r="B148" s="13">
        <v>2272</v>
      </c>
      <c r="C148" s="13">
        <f>VLOOKUP(A:A,'Nifty 50 '!$A:$B,2,0)</f>
        <v>24712.05</v>
      </c>
      <c r="D148" s="13">
        <f t="shared" si="2"/>
        <v>1.4074597678797698E-3</v>
      </c>
      <c r="E148" s="13">
        <f t="shared" si="2"/>
        <v>-8.5811273528911703E-3</v>
      </c>
      <c r="G148" s="4"/>
    </row>
    <row r="149" spans="1:7" x14ac:dyDescent="0.3">
      <c r="A149" s="25">
        <v>45894</v>
      </c>
      <c r="B149" s="13">
        <v>2302.9</v>
      </c>
      <c r="C149" s="13">
        <f>VLOOKUP(A:A,'Nifty 50 '!$A:$B,2,0)</f>
        <v>24967.75</v>
      </c>
      <c r="D149" s="13">
        <f t="shared" si="2"/>
        <v>-1.3508697412928481E-2</v>
      </c>
      <c r="E149" s="13">
        <f t="shared" si="2"/>
        <v>-1.0294013179196964E-2</v>
      </c>
      <c r="G149" s="4"/>
    </row>
    <row r="150" spans="1:7" x14ac:dyDescent="0.3">
      <c r="A150" s="25">
        <v>45891</v>
      </c>
      <c r="B150" s="13">
        <v>2324.9</v>
      </c>
      <c r="C150" s="13">
        <f>VLOOKUP(A:A,'Nifty 50 '!$A:$B,2,0)</f>
        <v>24870.1</v>
      </c>
      <c r="D150" s="13">
        <f t="shared" si="2"/>
        <v>-9.5078290898091538E-3</v>
      </c>
      <c r="E150" s="13">
        <f t="shared" si="2"/>
        <v>3.9187133859900506E-3</v>
      </c>
      <c r="G150" s="4"/>
    </row>
    <row r="151" spans="1:7" x14ac:dyDescent="0.3">
      <c r="A151" s="25">
        <v>45890</v>
      </c>
      <c r="B151" s="13">
        <v>2377.1999999999998</v>
      </c>
      <c r="C151" s="13">
        <f>VLOOKUP(A:A,'Nifty 50 '!$A:$B,2,0)</f>
        <v>25083.75</v>
      </c>
      <c r="D151" s="13">
        <f t="shared" si="2"/>
        <v>-2.2246297148725856E-2</v>
      </c>
      <c r="E151" s="13">
        <f t="shared" si="2"/>
        <v>-8.5539474026356463E-3</v>
      </c>
      <c r="G151" s="4"/>
    </row>
    <row r="152" spans="1:7" x14ac:dyDescent="0.3">
      <c r="A152" s="25">
        <v>45889</v>
      </c>
      <c r="B152" s="13">
        <v>2387.1</v>
      </c>
      <c r="C152" s="13">
        <f>VLOOKUP(A:A,'Nifty 50 '!$A:$B,2,0)</f>
        <v>25050.55</v>
      </c>
      <c r="D152" s="13">
        <f t="shared" si="2"/>
        <v>-4.1559155590933259E-3</v>
      </c>
      <c r="E152" s="13">
        <f t="shared" si="2"/>
        <v>1.324442740923701E-3</v>
      </c>
      <c r="G152" s="4"/>
    </row>
    <row r="153" spans="1:7" x14ac:dyDescent="0.3">
      <c r="A153" s="25">
        <v>45888</v>
      </c>
      <c r="B153" s="13">
        <v>2388.4</v>
      </c>
      <c r="C153" s="13">
        <f>VLOOKUP(A:A,'Nifty 50 '!$A:$B,2,0)</f>
        <v>24980.65</v>
      </c>
      <c r="D153" s="13">
        <f t="shared" si="2"/>
        <v>-5.4444562123857443E-4</v>
      </c>
      <c r="E153" s="13">
        <f t="shared" si="2"/>
        <v>2.7942582021172405E-3</v>
      </c>
      <c r="G153" s="4"/>
    </row>
    <row r="154" spans="1:7" x14ac:dyDescent="0.3">
      <c r="A154" s="25">
        <v>45887</v>
      </c>
      <c r="B154" s="13">
        <v>2333.6</v>
      </c>
      <c r="C154" s="13">
        <f>VLOOKUP(A:A,'Nifty 50 '!$A:$B,2,0)</f>
        <v>24876.95</v>
      </c>
      <c r="D154" s="13">
        <f t="shared" si="2"/>
        <v>2.3211546119325844E-2</v>
      </c>
      <c r="E154" s="13">
        <f t="shared" si="2"/>
        <v>4.1598532435831309E-3</v>
      </c>
      <c r="G154" s="4"/>
    </row>
    <row r="155" spans="1:7" x14ac:dyDescent="0.3">
      <c r="A155" s="25">
        <v>45883</v>
      </c>
      <c r="B155" s="13">
        <v>2281.6</v>
      </c>
      <c r="C155" s="13">
        <f>VLOOKUP(A:A,'Nifty 50 '!$A:$B,2,0)</f>
        <v>24631.3</v>
      </c>
      <c r="D155" s="13">
        <f t="shared" si="2"/>
        <v>2.2535188333534815E-2</v>
      </c>
      <c r="E155" s="13">
        <f t="shared" si="2"/>
        <v>9.9236800312108801E-3</v>
      </c>
      <c r="G155" s="4"/>
    </row>
    <row r="156" spans="1:7" x14ac:dyDescent="0.3">
      <c r="A156" s="25">
        <v>45882</v>
      </c>
      <c r="B156" s="13">
        <v>2280.1</v>
      </c>
      <c r="C156" s="13">
        <f>VLOOKUP(A:A,'Nifty 50 '!$A:$B,2,0)</f>
        <v>24619.35</v>
      </c>
      <c r="D156" s="13">
        <f t="shared" si="2"/>
        <v>6.576495841738928E-4</v>
      </c>
      <c r="E156" s="13">
        <f t="shared" si="2"/>
        <v>4.8527279272500415E-4</v>
      </c>
      <c r="G156" s="4"/>
    </row>
    <row r="157" spans="1:7" x14ac:dyDescent="0.3">
      <c r="A157" s="25">
        <v>45881</v>
      </c>
      <c r="B157" s="13">
        <v>2288.1999999999998</v>
      </c>
      <c r="C157" s="13">
        <f>VLOOKUP(A:A,'Nifty 50 '!$A:$B,2,0)</f>
        <v>24487.4</v>
      </c>
      <c r="D157" s="13">
        <f t="shared" si="2"/>
        <v>-3.546180631040524E-3</v>
      </c>
      <c r="E157" s="13">
        <f t="shared" si="2"/>
        <v>5.3740195618916181E-3</v>
      </c>
      <c r="G157" s="4"/>
    </row>
    <row r="158" spans="1:7" x14ac:dyDescent="0.3">
      <c r="A158" s="25">
        <v>45880</v>
      </c>
      <c r="B158" s="13">
        <v>2283.4</v>
      </c>
      <c r="C158" s="13">
        <f>VLOOKUP(A:A,'Nifty 50 '!$A:$B,2,0)</f>
        <v>24585.05</v>
      </c>
      <c r="D158" s="13">
        <f t="shared" si="2"/>
        <v>2.0999220246166431E-3</v>
      </c>
      <c r="E158" s="13">
        <f t="shared" si="2"/>
        <v>-3.9798350761185517E-3</v>
      </c>
      <c r="G158" s="4"/>
    </row>
    <row r="159" spans="1:7" x14ac:dyDescent="0.3">
      <c r="A159" s="25">
        <v>45877</v>
      </c>
      <c r="B159" s="13">
        <v>2178.1</v>
      </c>
      <c r="C159" s="13">
        <f>VLOOKUP(A:A,'Nifty 50 '!$A:$B,2,0)</f>
        <v>24363.3</v>
      </c>
      <c r="D159" s="13">
        <f t="shared" si="2"/>
        <v>4.7212623121044663E-2</v>
      </c>
      <c r="E159" s="13">
        <f t="shared" si="2"/>
        <v>9.0606329752241262E-3</v>
      </c>
      <c r="G159" s="4"/>
    </row>
    <row r="160" spans="1:7" x14ac:dyDescent="0.3">
      <c r="A160" s="25">
        <v>45876</v>
      </c>
      <c r="B160" s="13">
        <v>2249.8000000000002</v>
      </c>
      <c r="C160" s="13">
        <f>VLOOKUP(A:A,'Nifty 50 '!$A:$B,2,0)</f>
        <v>24596.15</v>
      </c>
      <c r="D160" s="13">
        <f t="shared" si="2"/>
        <v>-3.2388386237543386E-2</v>
      </c>
      <c r="E160" s="13">
        <f t="shared" si="2"/>
        <v>-9.5120249782038261E-3</v>
      </c>
      <c r="G160" s="4"/>
    </row>
    <row r="161" spans="1:7" x14ac:dyDescent="0.3">
      <c r="A161" s="25">
        <v>45875</v>
      </c>
      <c r="B161" s="13">
        <v>2300.3000000000002</v>
      </c>
      <c r="C161" s="13">
        <f>VLOOKUP(A:A,'Nifty 50 '!$A:$B,2,0)</f>
        <v>24574.2</v>
      </c>
      <c r="D161" s="13">
        <f t="shared" si="2"/>
        <v>-2.219822583524764E-2</v>
      </c>
      <c r="E161" s="13">
        <f t="shared" si="2"/>
        <v>8.9281452981572603E-4</v>
      </c>
      <c r="G161" s="4"/>
    </row>
    <row r="162" spans="1:7" x14ac:dyDescent="0.3">
      <c r="A162" s="25">
        <v>45874</v>
      </c>
      <c r="B162" s="13">
        <v>2328.1999999999998</v>
      </c>
      <c r="C162" s="13">
        <f>VLOOKUP(A:A,'Nifty 50 '!$A:$B,2,0)</f>
        <v>24649.55</v>
      </c>
      <c r="D162" s="13">
        <f t="shared" si="2"/>
        <v>-1.2055887620167283E-2</v>
      </c>
      <c r="E162" s="13">
        <f t="shared" si="2"/>
        <v>-3.0615326485490348E-3</v>
      </c>
      <c r="G162" s="4"/>
    </row>
    <row r="163" spans="1:7" x14ac:dyDescent="0.3">
      <c r="A163" s="25">
        <v>45873</v>
      </c>
      <c r="B163" s="13">
        <v>2363.6</v>
      </c>
      <c r="C163" s="13">
        <f>VLOOKUP(A:A,'Nifty 50 '!$A:$B,2,0)</f>
        <v>24722.75</v>
      </c>
      <c r="D163" s="13">
        <f t="shared" si="2"/>
        <v>-1.509044365737899E-2</v>
      </c>
      <c r="E163" s="13">
        <f t="shared" si="2"/>
        <v>-2.9652276128395885E-3</v>
      </c>
      <c r="G163" s="4"/>
    </row>
    <row r="164" spans="1:7" x14ac:dyDescent="0.3">
      <c r="A164" s="25">
        <v>45870</v>
      </c>
      <c r="B164" s="13">
        <v>2350.9</v>
      </c>
      <c r="C164" s="13">
        <f>VLOOKUP(A:A,'Nifty 50 '!$A:$B,2,0)</f>
        <v>24565.35</v>
      </c>
      <c r="D164" s="13">
        <f t="shared" si="2"/>
        <v>5.3876469275430773E-3</v>
      </c>
      <c r="E164" s="13">
        <f t="shared" si="2"/>
        <v>6.3869589240010231E-3</v>
      </c>
      <c r="G164" s="4"/>
    </row>
    <row r="165" spans="1:7" x14ac:dyDescent="0.3">
      <c r="A165" s="25">
        <v>45869</v>
      </c>
      <c r="B165" s="13">
        <v>2430.6999999999998</v>
      </c>
      <c r="C165" s="13">
        <f>VLOOKUP(A:A,'Nifty 50 '!$A:$B,2,0)</f>
        <v>24768.35</v>
      </c>
      <c r="D165" s="13">
        <f t="shared" si="2"/>
        <v>-3.3381048151240218E-2</v>
      </c>
      <c r="E165" s="13">
        <f t="shared" si="2"/>
        <v>-8.2297150116146193E-3</v>
      </c>
      <c r="G165" s="4"/>
    </row>
    <row r="166" spans="1:7" x14ac:dyDescent="0.3">
      <c r="A166" s="25">
        <v>45868</v>
      </c>
      <c r="B166" s="13">
        <v>2532.9</v>
      </c>
      <c r="C166" s="13">
        <f>VLOOKUP(A:A,'Nifty 50 '!$A:$B,2,0)</f>
        <v>24855.05</v>
      </c>
      <c r="D166" s="13">
        <f t="shared" si="2"/>
        <v>-4.1185609648347256E-2</v>
      </c>
      <c r="E166" s="13">
        <f t="shared" si="2"/>
        <v>-3.4943227678611022E-3</v>
      </c>
      <c r="G166" s="4"/>
    </row>
    <row r="167" spans="1:7" x14ac:dyDescent="0.3">
      <c r="A167" s="25">
        <v>45867</v>
      </c>
      <c r="B167" s="13">
        <v>2547.9</v>
      </c>
      <c r="C167" s="13">
        <f>VLOOKUP(A:A,'Nifty 50 '!$A:$B,2,0)</f>
        <v>24821.1</v>
      </c>
      <c r="D167" s="13">
        <f t="shared" si="2"/>
        <v>-5.9045991105094097E-3</v>
      </c>
      <c r="E167" s="13">
        <f t="shared" si="2"/>
        <v>1.3668533203841048E-3</v>
      </c>
      <c r="G167" s="4"/>
    </row>
    <row r="168" spans="1:7" x14ac:dyDescent="0.3">
      <c r="A168" s="25">
        <v>45866</v>
      </c>
      <c r="B168" s="13">
        <v>2522.3000000000002</v>
      </c>
      <c r="C168" s="13">
        <f>VLOOKUP(A:A,'Nifty 50 '!$A:$B,2,0)</f>
        <v>24680.9</v>
      </c>
      <c r="D168" s="13">
        <f t="shared" si="2"/>
        <v>1.0098306791843875E-2</v>
      </c>
      <c r="E168" s="13">
        <f t="shared" si="2"/>
        <v>5.6644327448940367E-3</v>
      </c>
      <c r="G168" s="4"/>
    </row>
    <row r="169" spans="1:7" x14ac:dyDescent="0.3">
      <c r="A169" s="25">
        <v>45863</v>
      </c>
      <c r="B169" s="13">
        <v>2550.1</v>
      </c>
      <c r="C169" s="13">
        <f>VLOOKUP(A:A,'Nifty 50 '!$A:$B,2,0)</f>
        <v>24837</v>
      </c>
      <c r="D169" s="13">
        <f t="shared" si="2"/>
        <v>-1.0961390407602009E-2</v>
      </c>
      <c r="E169" s="13">
        <f t="shared" si="2"/>
        <v>-6.3048116777717281E-3</v>
      </c>
      <c r="G169" s="4"/>
    </row>
    <row r="170" spans="1:7" x14ac:dyDescent="0.3">
      <c r="A170" s="25">
        <v>45862</v>
      </c>
      <c r="B170" s="13">
        <v>2608.4</v>
      </c>
      <c r="C170" s="13">
        <f>VLOOKUP(A:A,'Nifty 50 '!$A:$B,2,0)</f>
        <v>25062.1</v>
      </c>
      <c r="D170" s="13">
        <f t="shared" si="2"/>
        <v>-2.2604432449215839E-2</v>
      </c>
      <c r="E170" s="13">
        <f t="shared" si="2"/>
        <v>-9.0222680148949828E-3</v>
      </c>
      <c r="G170" s="4"/>
    </row>
    <row r="171" spans="1:7" x14ac:dyDescent="0.3">
      <c r="A171" s="25">
        <v>45861</v>
      </c>
      <c r="B171" s="13">
        <v>2614.5</v>
      </c>
      <c r="C171" s="13">
        <f>VLOOKUP(A:A,'Nifty 50 '!$A:$B,2,0)</f>
        <v>25219.9</v>
      </c>
      <c r="D171" s="13">
        <f t="shared" si="2"/>
        <v>-2.3358681091380147E-3</v>
      </c>
      <c r="E171" s="13">
        <f t="shared" si="2"/>
        <v>-6.2766205821811125E-3</v>
      </c>
      <c r="G171" s="4"/>
    </row>
    <row r="172" spans="1:7" x14ac:dyDescent="0.3">
      <c r="A172" s="25">
        <v>45860</v>
      </c>
      <c r="B172" s="13">
        <v>2587.8000000000002</v>
      </c>
      <c r="C172" s="13">
        <f>VLOOKUP(A:A,'Nifty 50 '!$A:$B,2,0)</f>
        <v>25060.9</v>
      </c>
      <c r="D172" s="13">
        <f t="shared" si="2"/>
        <v>1.026478074633275E-2</v>
      </c>
      <c r="E172" s="13">
        <f t="shared" si="2"/>
        <v>6.3245027919540961E-3</v>
      </c>
      <c r="G172" s="4"/>
    </row>
    <row r="173" spans="1:7" x14ac:dyDescent="0.3">
      <c r="A173" s="25">
        <v>45859</v>
      </c>
      <c r="B173" s="13">
        <v>2619.5</v>
      </c>
      <c r="C173" s="13">
        <f>VLOOKUP(A:A,'Nifty 50 '!$A:$B,2,0)</f>
        <v>25090.7</v>
      </c>
      <c r="D173" s="13">
        <f t="shared" si="2"/>
        <v>-1.2175365966421842E-2</v>
      </c>
      <c r="E173" s="13">
        <f t="shared" si="2"/>
        <v>-1.1883969208231818E-3</v>
      </c>
      <c r="G173" s="4"/>
    </row>
    <row r="174" spans="1:7" x14ac:dyDescent="0.3">
      <c r="A174" s="25">
        <v>45856</v>
      </c>
      <c r="B174" s="13">
        <v>2596.1</v>
      </c>
      <c r="C174" s="13">
        <f>VLOOKUP(A:A,'Nifty 50 '!$A:$B,2,0)</f>
        <v>24968.400000000001</v>
      </c>
      <c r="D174" s="13">
        <f t="shared" si="2"/>
        <v>8.9731409649681931E-3</v>
      </c>
      <c r="E174" s="13">
        <f t="shared" si="2"/>
        <v>4.8862342043243081E-3</v>
      </c>
      <c r="G174" s="4"/>
    </row>
    <row r="175" spans="1:7" x14ac:dyDescent="0.3">
      <c r="A175" s="25">
        <v>45855</v>
      </c>
      <c r="B175" s="13">
        <v>2616.6</v>
      </c>
      <c r="C175" s="13">
        <f>VLOOKUP(A:A,'Nifty 50 '!$A:$B,2,0)</f>
        <v>25111.45</v>
      </c>
      <c r="D175" s="13">
        <f t="shared" si="2"/>
        <v>-7.8654461934695215E-3</v>
      </c>
      <c r="E175" s="13">
        <f t="shared" si="2"/>
        <v>-5.7128920738239268E-3</v>
      </c>
      <c r="G175" s="4"/>
    </row>
    <row r="176" spans="1:7" x14ac:dyDescent="0.3">
      <c r="A176" s="25">
        <v>45854</v>
      </c>
      <c r="B176" s="13">
        <v>2608.5</v>
      </c>
      <c r="C176" s="13">
        <f>VLOOKUP(A:A,'Nifty 50 '!$A:$B,2,0)</f>
        <v>25212.05</v>
      </c>
      <c r="D176" s="13">
        <f t="shared" si="2"/>
        <v>3.1004216143284196E-3</v>
      </c>
      <c r="E176" s="13">
        <f t="shared" si="2"/>
        <v>-3.9981374112852634E-3</v>
      </c>
      <c r="G176" s="4"/>
    </row>
    <row r="177" spans="1:7" x14ac:dyDescent="0.3">
      <c r="A177" s="25">
        <v>45853</v>
      </c>
      <c r="B177" s="13">
        <v>2598.1999999999998</v>
      </c>
      <c r="C177" s="13">
        <f>VLOOKUP(A:A,'Nifty 50 '!$A:$B,2,0)</f>
        <v>25195.8</v>
      </c>
      <c r="D177" s="13">
        <f t="shared" si="2"/>
        <v>3.9564459008150834E-3</v>
      </c>
      <c r="E177" s="13">
        <f t="shared" si="2"/>
        <v>6.4474087122986417E-4</v>
      </c>
      <c r="G177" s="4"/>
    </row>
    <row r="178" spans="1:7" x14ac:dyDescent="0.3">
      <c r="A178" s="25">
        <v>45852</v>
      </c>
      <c r="B178" s="13">
        <v>2581.3000000000002</v>
      </c>
      <c r="C178" s="13">
        <f>VLOOKUP(A:A,'Nifty 50 '!$A:$B,2,0)</f>
        <v>25082.3</v>
      </c>
      <c r="D178" s="13">
        <f t="shared" si="2"/>
        <v>6.525749579845903E-3</v>
      </c>
      <c r="E178" s="13">
        <f t="shared" si="2"/>
        <v>4.5148958612713751E-3</v>
      </c>
      <c r="G178" s="4"/>
    </row>
    <row r="179" spans="1:7" x14ac:dyDescent="0.3">
      <c r="A179" s="25">
        <v>45849</v>
      </c>
      <c r="B179" s="13">
        <v>2558.6999999999998</v>
      </c>
      <c r="C179" s="13">
        <f>VLOOKUP(A:A,'Nifty 50 '!$A:$B,2,0)</f>
        <v>25149.85</v>
      </c>
      <c r="D179" s="13">
        <f t="shared" si="2"/>
        <v>8.7938309886130984E-3</v>
      </c>
      <c r="E179" s="13">
        <f t="shared" si="2"/>
        <v>-2.6895142142431107E-3</v>
      </c>
      <c r="G179" s="4"/>
    </row>
    <row r="180" spans="1:7" x14ac:dyDescent="0.3">
      <c r="A180" s="25">
        <v>45848</v>
      </c>
      <c r="B180" s="13">
        <v>2581</v>
      </c>
      <c r="C180" s="13">
        <f>VLOOKUP(A:A,'Nifty 50 '!$A:$B,2,0)</f>
        <v>25355.25</v>
      </c>
      <c r="D180" s="13">
        <f t="shared" si="2"/>
        <v>-8.6776037254404793E-3</v>
      </c>
      <c r="E180" s="13">
        <f t="shared" si="2"/>
        <v>-8.1338768732905544E-3</v>
      </c>
      <c r="G180" s="4"/>
    </row>
    <row r="181" spans="1:7" x14ac:dyDescent="0.3">
      <c r="A181" s="25">
        <v>45847</v>
      </c>
      <c r="B181" s="13">
        <v>2583</v>
      </c>
      <c r="C181" s="13">
        <f>VLOOKUP(A:A,'Nifty 50 '!$A:$B,2,0)</f>
        <v>25476.1</v>
      </c>
      <c r="D181" s="13">
        <f t="shared" si="2"/>
        <v>-7.7459337722658283E-4</v>
      </c>
      <c r="E181" s="13">
        <f t="shared" si="2"/>
        <v>-4.7549485778671007E-3</v>
      </c>
      <c r="G181" s="4"/>
    </row>
    <row r="182" spans="1:7" x14ac:dyDescent="0.3">
      <c r="A182" s="25">
        <v>45846</v>
      </c>
      <c r="B182" s="13">
        <v>2591.3000000000002</v>
      </c>
      <c r="C182" s="13">
        <f>VLOOKUP(A:A,'Nifty 50 '!$A:$B,2,0)</f>
        <v>25522.5</v>
      </c>
      <c r="D182" s="13">
        <f t="shared" si="2"/>
        <v>-3.2081661746943954E-3</v>
      </c>
      <c r="E182" s="13">
        <f t="shared" si="2"/>
        <v>-1.8196582966253595E-3</v>
      </c>
      <c r="G182" s="4"/>
    </row>
    <row r="183" spans="1:7" x14ac:dyDescent="0.3">
      <c r="A183" s="25">
        <v>45845</v>
      </c>
      <c r="B183" s="13">
        <v>2576.1</v>
      </c>
      <c r="C183" s="13">
        <f>VLOOKUP(A:A,'Nifty 50 '!$A:$B,2,0)</f>
        <v>25461.3</v>
      </c>
      <c r="D183" s="13">
        <f t="shared" si="2"/>
        <v>5.8830529239863039E-3</v>
      </c>
      <c r="E183" s="13">
        <f t="shared" si="2"/>
        <v>2.4007637482767337E-3</v>
      </c>
      <c r="G183" s="4"/>
    </row>
    <row r="184" spans="1:7" x14ac:dyDescent="0.3">
      <c r="A184" s="25">
        <v>45842</v>
      </c>
      <c r="B184" s="13">
        <v>2599.1</v>
      </c>
      <c r="C184" s="13">
        <f>VLOOKUP(A:A,'Nifty 50 '!$A:$B,2,0)</f>
        <v>25461</v>
      </c>
      <c r="D184" s="13">
        <f t="shared" si="2"/>
        <v>-8.8886038917989334E-3</v>
      </c>
      <c r="E184" s="13">
        <f t="shared" si="2"/>
        <v>1.1782657107136236E-5</v>
      </c>
      <c r="G184" s="4"/>
    </row>
    <row r="185" spans="1:7" x14ac:dyDescent="0.3">
      <c r="A185" s="25">
        <v>45841</v>
      </c>
      <c r="B185" s="13">
        <v>2611.1999999999998</v>
      </c>
      <c r="C185" s="13">
        <f>VLOOKUP(A:A,'Nifty 50 '!$A:$B,2,0)</f>
        <v>25405.3</v>
      </c>
      <c r="D185" s="13">
        <f t="shared" si="2"/>
        <v>-4.6446545314401746E-3</v>
      </c>
      <c r="E185" s="13">
        <f t="shared" si="2"/>
        <v>2.1900559806014813E-3</v>
      </c>
      <c r="G185" s="4"/>
    </row>
    <row r="186" spans="1:7" x14ac:dyDescent="0.3">
      <c r="A186" s="25">
        <v>45840</v>
      </c>
      <c r="B186" s="13">
        <v>2630.2</v>
      </c>
      <c r="C186" s="13">
        <f>VLOOKUP(A:A,'Nifty 50 '!$A:$B,2,0)</f>
        <v>25453.4</v>
      </c>
      <c r="D186" s="13">
        <f t="shared" si="2"/>
        <v>-7.2500031380766964E-3</v>
      </c>
      <c r="E186" s="13">
        <f t="shared" si="2"/>
        <v>-1.8915156833006601E-3</v>
      </c>
      <c r="G186" s="4"/>
    </row>
    <row r="187" spans="1:7" x14ac:dyDescent="0.3">
      <c r="A187" s="25">
        <v>45839</v>
      </c>
      <c r="B187" s="13">
        <v>2621.8</v>
      </c>
      <c r="C187" s="13">
        <f>VLOOKUP(A:A,'Nifty 50 '!$A:$B,2,0)</f>
        <v>25541.8</v>
      </c>
      <c r="D187" s="13">
        <f t="shared" si="2"/>
        <v>3.1987841441555266E-3</v>
      </c>
      <c r="E187" s="13">
        <f t="shared" si="2"/>
        <v>-3.4669964446766102E-3</v>
      </c>
      <c r="G187" s="4"/>
    </row>
    <row r="188" spans="1:7" x14ac:dyDescent="0.3">
      <c r="A188" s="25">
        <v>45838</v>
      </c>
      <c r="B188" s="13">
        <v>2619.4</v>
      </c>
      <c r="C188" s="13">
        <f>VLOOKUP(A:A,'Nifty 50 '!$A:$B,2,0)</f>
        <v>25517.05</v>
      </c>
      <c r="D188" s="13">
        <f t="shared" si="2"/>
        <v>9.1582086840638697E-4</v>
      </c>
      <c r="E188" s="13">
        <f t="shared" si="2"/>
        <v>9.6946961940914944E-4</v>
      </c>
      <c r="G188" s="4"/>
    </row>
    <row r="189" spans="1:7" x14ac:dyDescent="0.3">
      <c r="A189" s="25">
        <v>45835</v>
      </c>
      <c r="B189" s="13">
        <v>2646.3</v>
      </c>
      <c r="C189" s="13">
        <f>VLOOKUP(A:A,'Nifty 50 '!$A:$B,2,0)</f>
        <v>25637.8</v>
      </c>
      <c r="D189" s="13">
        <f t="shared" si="2"/>
        <v>-1.0217154037528405E-2</v>
      </c>
      <c r="E189" s="13">
        <f t="shared" si="2"/>
        <v>-4.7209687553906882E-3</v>
      </c>
      <c r="G189" s="4"/>
    </row>
    <row r="190" spans="1:7" x14ac:dyDescent="0.3">
      <c r="A190" s="25">
        <v>45834</v>
      </c>
      <c r="B190" s="13">
        <v>2586.1999999999998</v>
      </c>
      <c r="C190" s="13">
        <f>VLOOKUP(A:A,'Nifty 50 '!$A:$B,2,0)</f>
        <v>25549</v>
      </c>
      <c r="D190" s="13">
        <f t="shared" si="2"/>
        <v>2.2972821071079813E-2</v>
      </c>
      <c r="E190" s="13">
        <f t="shared" si="2"/>
        <v>3.4696479984903748E-3</v>
      </c>
      <c r="G190" s="4"/>
    </row>
    <row r="191" spans="1:7" x14ac:dyDescent="0.3">
      <c r="A191" s="25">
        <v>45833</v>
      </c>
      <c r="B191" s="13">
        <v>2527.1999999999998</v>
      </c>
      <c r="C191" s="13">
        <f>VLOOKUP(A:A,'Nifty 50 '!$A:$B,2,0)</f>
        <v>25244.75</v>
      </c>
      <c r="D191" s="13">
        <f t="shared" si="2"/>
        <v>2.3077646373875823E-2</v>
      </c>
      <c r="E191" s="13">
        <f t="shared" si="2"/>
        <v>1.1979963629751521E-2</v>
      </c>
      <c r="G191" s="4"/>
    </row>
    <row r="192" spans="1:7" x14ac:dyDescent="0.3">
      <c r="A192" s="25">
        <v>45832</v>
      </c>
      <c r="B192" s="13">
        <v>2505.6</v>
      </c>
      <c r="C192" s="13">
        <f>VLOOKUP(A:A,'Nifty 50 '!$A:$B,2,0)</f>
        <v>25044.35</v>
      </c>
      <c r="D192" s="13">
        <f t="shared" si="2"/>
        <v>8.583743691391435E-3</v>
      </c>
      <c r="E192" s="13">
        <f t="shared" si="2"/>
        <v>7.969960122065977E-3</v>
      </c>
      <c r="G192" s="4"/>
    </row>
    <row r="193" spans="1:7" x14ac:dyDescent="0.3">
      <c r="A193" s="25">
        <v>45831</v>
      </c>
      <c r="B193" s="13">
        <v>2472</v>
      </c>
      <c r="C193" s="13">
        <f>VLOOKUP(A:A,'Nifty 50 '!$A:$B,2,0)</f>
        <v>24971.9</v>
      </c>
      <c r="D193" s="13">
        <f t="shared" si="2"/>
        <v>1.3500687218902524E-2</v>
      </c>
      <c r="E193" s="13">
        <f t="shared" si="2"/>
        <v>2.8970604822426802E-3</v>
      </c>
      <c r="G193" s="4"/>
    </row>
    <row r="194" spans="1:7" x14ac:dyDescent="0.3">
      <c r="A194" s="25">
        <v>45828</v>
      </c>
      <c r="B194" s="13">
        <v>2448.4</v>
      </c>
      <c r="C194" s="13">
        <f>VLOOKUP(A:A,'Nifty 50 '!$A:$B,2,0)</f>
        <v>25112.400000000001</v>
      </c>
      <c r="D194" s="13">
        <f t="shared" si="2"/>
        <v>9.5927896006666059E-3</v>
      </c>
      <c r="E194" s="13">
        <f t="shared" si="2"/>
        <v>-5.610555346030624E-3</v>
      </c>
      <c r="G194" s="4"/>
    </row>
    <row r="195" spans="1:7" x14ac:dyDescent="0.3">
      <c r="A195" s="25">
        <v>45827</v>
      </c>
      <c r="B195" s="13">
        <v>2420.6</v>
      </c>
      <c r="C195" s="13">
        <f>VLOOKUP(A:A,'Nifty 50 '!$A:$B,2,0)</f>
        <v>24793.25</v>
      </c>
      <c r="D195" s="13">
        <f t="shared" si="2"/>
        <v>1.1419306672411355E-2</v>
      </c>
      <c r="E195" s="13">
        <f t="shared" si="2"/>
        <v>1.2790309347901757E-2</v>
      </c>
      <c r="G195" s="4"/>
    </row>
    <row r="196" spans="1:7" x14ac:dyDescent="0.3">
      <c r="A196" s="25">
        <v>45826</v>
      </c>
      <c r="B196" s="13">
        <v>2459.1</v>
      </c>
      <c r="C196" s="13">
        <f>VLOOKUP(A:A,'Nifty 50 '!$A:$B,2,0)</f>
        <v>24812.05</v>
      </c>
      <c r="D196" s="13">
        <f t="shared" ref="D196:E259" si="3">LN(B195/B196)</f>
        <v>-1.5779986022591272E-2</v>
      </c>
      <c r="E196" s="13">
        <f t="shared" si="3"/>
        <v>-7.5798355821293751E-4</v>
      </c>
      <c r="G196" s="4"/>
    </row>
    <row r="197" spans="1:7" x14ac:dyDescent="0.3">
      <c r="A197" s="25">
        <v>45825</v>
      </c>
      <c r="B197" s="13">
        <v>2488.5</v>
      </c>
      <c r="C197" s="13">
        <f>VLOOKUP(A:A,'Nifty 50 '!$A:$B,2,0)</f>
        <v>24853.4</v>
      </c>
      <c r="D197" s="13">
        <f t="shared" si="3"/>
        <v>-1.1884689971514208E-2</v>
      </c>
      <c r="E197" s="13">
        <f t="shared" si="3"/>
        <v>-1.6651418462635466E-3</v>
      </c>
      <c r="G197" s="4"/>
    </row>
    <row r="198" spans="1:7" x14ac:dyDescent="0.3">
      <c r="A198" s="25">
        <v>45824</v>
      </c>
      <c r="B198" s="13">
        <v>2544</v>
      </c>
      <c r="C198" s="13">
        <f>VLOOKUP(A:A,'Nifty 50 '!$A:$B,2,0)</f>
        <v>24946.5</v>
      </c>
      <c r="D198" s="13">
        <f t="shared" si="3"/>
        <v>-2.2057526161403891E-2</v>
      </c>
      <c r="E198" s="13">
        <f t="shared" si="3"/>
        <v>-3.7389676871053394E-3</v>
      </c>
      <c r="G198" s="4"/>
    </row>
    <row r="199" spans="1:7" x14ac:dyDescent="0.3">
      <c r="A199" s="25">
        <v>45821</v>
      </c>
      <c r="B199" s="13">
        <v>2507.9</v>
      </c>
      <c r="C199" s="13">
        <f>VLOOKUP(A:A,'Nifty 50 '!$A:$B,2,0)</f>
        <v>24718.6</v>
      </c>
      <c r="D199" s="13">
        <f t="shared" si="3"/>
        <v>1.4291895910420372E-2</v>
      </c>
      <c r="E199" s="13">
        <f t="shared" si="3"/>
        <v>9.177535114667245E-3</v>
      </c>
      <c r="G199" s="4"/>
    </row>
    <row r="200" spans="1:7" x14ac:dyDescent="0.3">
      <c r="A200" s="25">
        <v>45820</v>
      </c>
      <c r="B200" s="13">
        <v>2543.6999999999998</v>
      </c>
      <c r="C200" s="13">
        <f>VLOOKUP(A:A,'Nifty 50 '!$A:$B,2,0)</f>
        <v>24888.2</v>
      </c>
      <c r="D200" s="13">
        <f t="shared" si="3"/>
        <v>-1.417396442847468E-2</v>
      </c>
      <c r="E200" s="13">
        <f t="shared" si="3"/>
        <v>-6.8377988828330826E-3</v>
      </c>
      <c r="G200" s="4"/>
    </row>
    <row r="201" spans="1:7" x14ac:dyDescent="0.3">
      <c r="A201" s="25">
        <v>45819</v>
      </c>
      <c r="B201" s="13">
        <v>2581.1999999999998</v>
      </c>
      <c r="C201" s="13">
        <f>VLOOKUP(A:A,'Nifty 50 '!$A:$B,2,0)</f>
        <v>25141.4</v>
      </c>
      <c r="D201" s="13">
        <f t="shared" si="3"/>
        <v>-1.4634693083617669E-2</v>
      </c>
      <c r="E201" s="13">
        <f t="shared" si="3"/>
        <v>-1.0122094193621185E-2</v>
      </c>
      <c r="G201" s="4"/>
    </row>
    <row r="202" spans="1:7" x14ac:dyDescent="0.3">
      <c r="A202" s="25">
        <v>45818</v>
      </c>
      <c r="B202" s="13">
        <v>2613.1</v>
      </c>
      <c r="C202" s="13">
        <f>VLOOKUP(A:A,'Nifty 50 '!$A:$B,2,0)</f>
        <v>25104.25</v>
      </c>
      <c r="D202" s="13">
        <f t="shared" si="3"/>
        <v>-1.228284891416684E-2</v>
      </c>
      <c r="E202" s="13">
        <f t="shared" si="3"/>
        <v>1.4787352445249067E-3</v>
      </c>
      <c r="G202" s="4"/>
    </row>
    <row r="203" spans="1:7" x14ac:dyDescent="0.3">
      <c r="A203" s="25">
        <v>45817</v>
      </c>
      <c r="B203" s="13">
        <v>2582.1</v>
      </c>
      <c r="C203" s="13">
        <f>VLOOKUP(A:A,'Nifty 50 '!$A:$B,2,0)</f>
        <v>25103.200000000001</v>
      </c>
      <c r="D203" s="13">
        <f t="shared" si="3"/>
        <v>1.1934234652313032E-2</v>
      </c>
      <c r="E203" s="13">
        <f t="shared" si="3"/>
        <v>4.1826462015294284E-5</v>
      </c>
      <c r="G203" s="4"/>
    </row>
    <row r="204" spans="1:7" x14ac:dyDescent="0.3">
      <c r="A204" s="25">
        <v>45814</v>
      </c>
      <c r="B204" s="13">
        <v>2534.1999999999998</v>
      </c>
      <c r="C204" s="13">
        <f>VLOOKUP(A:A,'Nifty 50 '!$A:$B,2,0)</f>
        <v>25003.05</v>
      </c>
      <c r="D204" s="13">
        <f t="shared" si="3"/>
        <v>1.8725015958730655E-2</v>
      </c>
      <c r="E204" s="13">
        <f t="shared" si="3"/>
        <v>3.9975106246084267E-3</v>
      </c>
      <c r="G204" s="4"/>
    </row>
    <row r="205" spans="1:7" x14ac:dyDescent="0.3">
      <c r="A205" s="25">
        <v>45813</v>
      </c>
      <c r="B205" s="13">
        <v>2504.4</v>
      </c>
      <c r="C205" s="13">
        <f>VLOOKUP(A:A,'Nifty 50 '!$A:$B,2,0)</f>
        <v>24750.9</v>
      </c>
      <c r="D205" s="13">
        <f t="shared" si="3"/>
        <v>1.1828820493652472E-2</v>
      </c>
      <c r="E205" s="13">
        <f t="shared" si="3"/>
        <v>1.0135965436883998E-2</v>
      </c>
      <c r="G205" s="4"/>
    </row>
    <row r="206" spans="1:7" x14ac:dyDescent="0.3">
      <c r="A206" s="25">
        <v>45812</v>
      </c>
      <c r="B206" s="13">
        <v>2489.4</v>
      </c>
      <c r="C206" s="13">
        <f>VLOOKUP(A:A,'Nifty 50 '!$A:$B,2,0)</f>
        <v>24620.2</v>
      </c>
      <c r="D206" s="13">
        <f t="shared" si="3"/>
        <v>6.0074673042782465E-3</v>
      </c>
      <c r="E206" s="13">
        <f t="shared" si="3"/>
        <v>5.2946077897617046E-3</v>
      </c>
      <c r="G206" s="4"/>
    </row>
    <row r="207" spans="1:7" x14ac:dyDescent="0.3">
      <c r="A207" s="25">
        <v>45811</v>
      </c>
      <c r="B207" s="13">
        <v>2470.9</v>
      </c>
      <c r="C207" s="13">
        <f>VLOOKUP(A:A,'Nifty 50 '!$A:$B,2,0)</f>
        <v>24542.5</v>
      </c>
      <c r="D207" s="13">
        <f t="shared" si="3"/>
        <v>7.4592608427458068E-3</v>
      </c>
      <c r="E207" s="13">
        <f t="shared" si="3"/>
        <v>3.1609356156210005E-3</v>
      </c>
      <c r="G207" s="4"/>
    </row>
    <row r="208" spans="1:7" x14ac:dyDescent="0.3">
      <c r="A208" s="25">
        <v>45810</v>
      </c>
      <c r="B208" s="13">
        <v>2518.8000000000002</v>
      </c>
      <c r="C208" s="13">
        <f>VLOOKUP(A:A,'Nifty 50 '!$A:$B,2,0)</f>
        <v>24716.6</v>
      </c>
      <c r="D208" s="13">
        <f t="shared" si="3"/>
        <v>-1.9200140890456317E-2</v>
      </c>
      <c r="E208" s="13">
        <f t="shared" si="3"/>
        <v>-7.0687740923206172E-3</v>
      </c>
      <c r="G208" s="4"/>
    </row>
    <row r="209" spans="1:7" x14ac:dyDescent="0.3">
      <c r="A209" s="25">
        <v>45807</v>
      </c>
      <c r="B209" s="13">
        <v>2519.9</v>
      </c>
      <c r="C209" s="13">
        <f>VLOOKUP(A:A,'Nifty 50 '!$A:$B,2,0)</f>
        <v>24750.7</v>
      </c>
      <c r="D209" s="13">
        <f t="shared" si="3"/>
        <v>-4.3662056382596224E-4</v>
      </c>
      <c r="E209" s="13">
        <f t="shared" si="3"/>
        <v>-1.3786887661705169E-3</v>
      </c>
      <c r="G209" s="4"/>
    </row>
    <row r="210" spans="1:7" x14ac:dyDescent="0.3">
      <c r="A210" s="25">
        <v>45806</v>
      </c>
      <c r="B210" s="13">
        <v>2540.8000000000002</v>
      </c>
      <c r="C210" s="13">
        <f>VLOOKUP(A:A,'Nifty 50 '!$A:$B,2,0)</f>
        <v>24833.599999999999</v>
      </c>
      <c r="D210" s="13">
        <f t="shared" si="3"/>
        <v>-8.2597738744030307E-3</v>
      </c>
      <c r="E210" s="13">
        <f t="shared" si="3"/>
        <v>-3.3438034717525197E-3</v>
      </c>
      <c r="G210" s="4"/>
    </row>
    <row r="211" spans="1:7" x14ac:dyDescent="0.3">
      <c r="A211" s="25">
        <v>45805</v>
      </c>
      <c r="B211" s="13">
        <v>2515</v>
      </c>
      <c r="C211" s="13">
        <f>VLOOKUP(A:A,'Nifty 50 '!$A:$B,2,0)</f>
        <v>24752.45</v>
      </c>
      <c r="D211" s="13">
        <f t="shared" si="3"/>
        <v>1.020618851897713E-2</v>
      </c>
      <c r="E211" s="13">
        <f t="shared" si="3"/>
        <v>3.2731009002705618E-3</v>
      </c>
      <c r="G211" s="4"/>
    </row>
    <row r="212" spans="1:7" x14ac:dyDescent="0.3">
      <c r="A212" s="25">
        <v>45804</v>
      </c>
      <c r="B212" s="13">
        <v>2540.3000000000002</v>
      </c>
      <c r="C212" s="13">
        <f>VLOOKUP(A:A,'Nifty 50 '!$A:$B,2,0)</f>
        <v>24826.2</v>
      </c>
      <c r="D212" s="13">
        <f t="shared" si="3"/>
        <v>-1.0009380740498453E-2</v>
      </c>
      <c r="E212" s="13">
        <f t="shared" si="3"/>
        <v>-2.9750731170425774E-3</v>
      </c>
      <c r="G212" s="4"/>
    </row>
    <row r="213" spans="1:7" x14ac:dyDescent="0.3">
      <c r="A213" s="25">
        <v>45803</v>
      </c>
      <c r="B213" s="13">
        <v>2547.6999999999998</v>
      </c>
      <c r="C213" s="13">
        <f>VLOOKUP(A:A,'Nifty 50 '!$A:$B,2,0)</f>
        <v>25001.15</v>
      </c>
      <c r="D213" s="13">
        <f t="shared" si="3"/>
        <v>-2.9088070824344623E-3</v>
      </c>
      <c r="E213" s="13">
        <f t="shared" si="3"/>
        <v>-7.0222766786781181E-3</v>
      </c>
      <c r="G213" s="4"/>
    </row>
    <row r="214" spans="1:7" x14ac:dyDescent="0.3">
      <c r="A214" s="25">
        <v>45800</v>
      </c>
      <c r="B214" s="13">
        <v>2540</v>
      </c>
      <c r="C214" s="13">
        <f>VLOOKUP(A:A,'Nifty 50 '!$A:$B,2,0)</f>
        <v>24853.15</v>
      </c>
      <c r="D214" s="13">
        <f t="shared" si="3"/>
        <v>3.0269103441902391E-3</v>
      </c>
      <c r="E214" s="13">
        <f t="shared" si="3"/>
        <v>5.9373187376564407E-3</v>
      </c>
      <c r="G214" s="4"/>
    </row>
    <row r="215" spans="1:7" x14ac:dyDescent="0.3">
      <c r="A215" s="25">
        <v>45799</v>
      </c>
      <c r="B215" s="13">
        <v>2487.6</v>
      </c>
      <c r="C215" s="13">
        <f>VLOOKUP(A:A,'Nifty 50 '!$A:$B,2,0)</f>
        <v>24609.7</v>
      </c>
      <c r="D215" s="13">
        <f t="shared" si="3"/>
        <v>2.0845690782847984E-2</v>
      </c>
      <c r="E215" s="13">
        <f t="shared" si="3"/>
        <v>9.8438309105117507E-3</v>
      </c>
      <c r="G215" s="4"/>
    </row>
    <row r="216" spans="1:7" x14ac:dyDescent="0.3">
      <c r="A216" s="25">
        <v>45798</v>
      </c>
      <c r="B216" s="13">
        <v>2500.4</v>
      </c>
      <c r="C216" s="13">
        <f>VLOOKUP(A:A,'Nifty 50 '!$A:$B,2,0)</f>
        <v>24813.45</v>
      </c>
      <c r="D216" s="13">
        <f t="shared" si="3"/>
        <v>-5.1323288279231669E-3</v>
      </c>
      <c r="E216" s="13">
        <f t="shared" si="3"/>
        <v>-8.2451707060623922E-3</v>
      </c>
      <c r="G216" s="4"/>
    </row>
    <row r="217" spans="1:7" x14ac:dyDescent="0.3">
      <c r="A217" s="25">
        <v>45797</v>
      </c>
      <c r="B217" s="13">
        <v>2501.6</v>
      </c>
      <c r="C217" s="13">
        <f>VLOOKUP(A:A,'Nifty 50 '!$A:$B,2,0)</f>
        <v>24683.9</v>
      </c>
      <c r="D217" s="13">
        <f t="shared" si="3"/>
        <v>-4.7980808597419697E-4</v>
      </c>
      <c r="E217" s="13">
        <f t="shared" si="3"/>
        <v>5.2346356247726386E-3</v>
      </c>
      <c r="G217" s="4"/>
    </row>
    <row r="218" spans="1:7" x14ac:dyDescent="0.3">
      <c r="A218" s="25">
        <v>45796</v>
      </c>
      <c r="B218" s="13">
        <v>2540.6</v>
      </c>
      <c r="C218" s="13">
        <f>VLOOKUP(A:A,'Nifty 50 '!$A:$B,2,0)</f>
        <v>24945.45</v>
      </c>
      <c r="D218" s="13">
        <f t="shared" si="3"/>
        <v>-1.5469746445728761E-2</v>
      </c>
      <c r="E218" s="13">
        <f t="shared" si="3"/>
        <v>-1.0540231594245037E-2</v>
      </c>
      <c r="G218" s="4"/>
    </row>
    <row r="219" spans="1:7" x14ac:dyDescent="0.3">
      <c r="A219" s="25">
        <v>45793</v>
      </c>
      <c r="B219" s="13">
        <v>2555</v>
      </c>
      <c r="C219" s="13">
        <f>VLOOKUP(A:A,'Nifty 50 '!$A:$B,2,0)</f>
        <v>25019.8</v>
      </c>
      <c r="D219" s="13">
        <f t="shared" si="3"/>
        <v>-5.651950048444542E-3</v>
      </c>
      <c r="E219" s="13">
        <f t="shared" si="3"/>
        <v>-2.976070564100508E-3</v>
      </c>
      <c r="G219" s="4"/>
    </row>
    <row r="220" spans="1:7" x14ac:dyDescent="0.3">
      <c r="A220" s="25">
        <v>45792</v>
      </c>
      <c r="B220" s="13">
        <v>2520</v>
      </c>
      <c r="C220" s="13">
        <f>VLOOKUP(A:A,'Nifty 50 '!$A:$B,2,0)</f>
        <v>25062.1</v>
      </c>
      <c r="D220" s="13">
        <f t="shared" si="3"/>
        <v>1.3793322132335769E-2</v>
      </c>
      <c r="E220" s="13">
        <f t="shared" si="3"/>
        <v>-1.6892334379733957E-3</v>
      </c>
      <c r="G220" s="4"/>
    </row>
    <row r="221" spans="1:7" x14ac:dyDescent="0.3">
      <c r="A221" s="25">
        <v>45791</v>
      </c>
      <c r="B221" s="13">
        <v>2461.9</v>
      </c>
      <c r="C221" s="13">
        <f>VLOOKUP(A:A,'Nifty 50 '!$A:$B,2,0)</f>
        <v>24666.9</v>
      </c>
      <c r="D221" s="13">
        <f t="shared" si="3"/>
        <v>2.3325491970218902E-2</v>
      </c>
      <c r="E221" s="13">
        <f t="shared" si="3"/>
        <v>1.5894480888894447E-2</v>
      </c>
      <c r="G221" s="4"/>
    </row>
    <row r="222" spans="1:7" x14ac:dyDescent="0.3">
      <c r="A222" s="25">
        <v>45790</v>
      </c>
      <c r="B222" s="13">
        <v>2441.1999999999998</v>
      </c>
      <c r="C222" s="13">
        <f>VLOOKUP(A:A,'Nifty 50 '!$A:$B,2,0)</f>
        <v>24578.35</v>
      </c>
      <c r="D222" s="13">
        <f t="shared" si="3"/>
        <v>8.4436878649102043E-3</v>
      </c>
      <c r="E222" s="13">
        <f t="shared" si="3"/>
        <v>3.5962898121936287E-3</v>
      </c>
      <c r="G222" s="4"/>
    </row>
    <row r="223" spans="1:7" x14ac:dyDescent="0.3">
      <c r="A223" s="25">
        <v>45789</v>
      </c>
      <c r="B223" s="13">
        <v>2425.3000000000002</v>
      </c>
      <c r="C223" s="13">
        <f>VLOOKUP(A:A,'Nifty 50 '!$A:$B,2,0)</f>
        <v>24924.7</v>
      </c>
      <c r="D223" s="13">
        <f t="shared" si="3"/>
        <v>6.5344936101668716E-3</v>
      </c>
      <c r="E223" s="13">
        <f t="shared" si="3"/>
        <v>-1.3993305528556882E-2</v>
      </c>
      <c r="G223" s="4"/>
    </row>
    <row r="224" spans="1:7" x14ac:dyDescent="0.3">
      <c r="A224" s="25">
        <v>45786</v>
      </c>
      <c r="B224" s="13">
        <v>2251</v>
      </c>
      <c r="C224" s="13">
        <f>VLOOKUP(A:A,'Nifty 50 '!$A:$B,2,0)</f>
        <v>24008</v>
      </c>
      <c r="D224" s="13">
        <f t="shared" si="3"/>
        <v>7.458066615344075E-2</v>
      </c>
      <c r="E224" s="13">
        <f t="shared" si="3"/>
        <v>3.7472171529076455E-2</v>
      </c>
      <c r="G224" s="4"/>
    </row>
    <row r="225" spans="1:7" x14ac:dyDescent="0.3">
      <c r="A225" s="25">
        <v>45785</v>
      </c>
      <c r="B225" s="13">
        <v>2285.3000000000002</v>
      </c>
      <c r="C225" s="13">
        <f>VLOOKUP(A:A,'Nifty 50 '!$A:$B,2,0)</f>
        <v>24273.8</v>
      </c>
      <c r="D225" s="13">
        <f t="shared" si="3"/>
        <v>-1.5122744832106483E-2</v>
      </c>
      <c r="E225" s="13">
        <f t="shared" si="3"/>
        <v>-1.1010471243807775E-2</v>
      </c>
      <c r="G225" s="4"/>
    </row>
    <row r="226" spans="1:7" x14ac:dyDescent="0.3">
      <c r="A226" s="25">
        <v>45784</v>
      </c>
      <c r="B226" s="13">
        <v>2353.1</v>
      </c>
      <c r="C226" s="13">
        <f>VLOOKUP(A:A,'Nifty 50 '!$A:$B,2,0)</f>
        <v>24414.400000000001</v>
      </c>
      <c r="D226" s="13">
        <f t="shared" si="3"/>
        <v>-2.9236301022996024E-2</v>
      </c>
      <c r="E226" s="13">
        <f t="shared" si="3"/>
        <v>-5.7755427734603581E-3</v>
      </c>
      <c r="G226" s="4"/>
    </row>
    <row r="227" spans="1:7" x14ac:dyDescent="0.3">
      <c r="A227" s="25">
        <v>45783</v>
      </c>
      <c r="B227" s="13">
        <v>2354</v>
      </c>
      <c r="C227" s="13">
        <f>VLOOKUP(A:A,'Nifty 50 '!$A:$B,2,0)</f>
        <v>24379.599999999999</v>
      </c>
      <c r="D227" s="13">
        <f t="shared" si="3"/>
        <v>-3.8240105838726647E-4</v>
      </c>
      <c r="E227" s="13">
        <f t="shared" si="3"/>
        <v>1.4264051276974533E-3</v>
      </c>
      <c r="G227" s="4"/>
    </row>
    <row r="228" spans="1:7" x14ac:dyDescent="0.3">
      <c r="A228" s="25">
        <v>45782</v>
      </c>
      <c r="B228" s="13">
        <v>2455.5</v>
      </c>
      <c r="C228" s="13">
        <f>VLOOKUP(A:A,'Nifty 50 '!$A:$B,2,0)</f>
        <v>24461.15</v>
      </c>
      <c r="D228" s="13">
        <f t="shared" si="3"/>
        <v>-4.2214397659077203E-2</v>
      </c>
      <c r="E228" s="13">
        <f t="shared" si="3"/>
        <v>-3.3394276617622325E-3</v>
      </c>
      <c r="G228" s="4"/>
    </row>
    <row r="229" spans="1:7" x14ac:dyDescent="0.3">
      <c r="A229" s="25">
        <v>45779</v>
      </c>
      <c r="B229" s="13">
        <v>2294.1999999999998</v>
      </c>
      <c r="C229" s="13">
        <f>VLOOKUP(A:A,'Nifty 50 '!$A:$B,2,0)</f>
        <v>24346.7</v>
      </c>
      <c r="D229" s="13">
        <f t="shared" si="3"/>
        <v>6.794620763213205E-2</v>
      </c>
      <c r="E229" s="13">
        <f t="shared" si="3"/>
        <v>4.6898279589179014E-3</v>
      </c>
      <c r="G229" s="4"/>
    </row>
    <row r="230" spans="1:7" x14ac:dyDescent="0.3">
      <c r="A230" s="25">
        <v>45777</v>
      </c>
      <c r="B230" s="13">
        <v>2301.3000000000002</v>
      </c>
      <c r="C230" s="13">
        <f>VLOOKUP(A:A,'Nifty 50 '!$A:$B,2,0)</f>
        <v>24334.2</v>
      </c>
      <c r="D230" s="13">
        <f t="shared" si="3"/>
        <v>-3.0899817861931517E-3</v>
      </c>
      <c r="E230" s="13">
        <f t="shared" si="3"/>
        <v>5.1354844609369319E-4</v>
      </c>
      <c r="G230" s="4"/>
    </row>
    <row r="231" spans="1:7" x14ac:dyDescent="0.3">
      <c r="A231" s="25">
        <v>45776</v>
      </c>
      <c r="B231" s="13">
        <v>2330.6</v>
      </c>
      <c r="C231" s="13">
        <f>VLOOKUP(A:A,'Nifty 50 '!$A:$B,2,0)</f>
        <v>24335.95</v>
      </c>
      <c r="D231" s="13">
        <f t="shared" si="3"/>
        <v>-1.2651564505802529E-2</v>
      </c>
      <c r="E231" s="13">
        <f t="shared" si="3"/>
        <v>-7.1912661076828911E-5</v>
      </c>
      <c r="G231" s="4"/>
    </row>
    <row r="232" spans="1:7" x14ac:dyDescent="0.3">
      <c r="A232" s="25">
        <v>45775</v>
      </c>
      <c r="B232" s="13">
        <v>2369.8000000000002</v>
      </c>
      <c r="C232" s="13">
        <f>VLOOKUP(A:A,'Nifty 50 '!$A:$B,2,0)</f>
        <v>24328.5</v>
      </c>
      <c r="D232" s="13">
        <f t="shared" si="3"/>
        <v>-1.6679818243476703E-2</v>
      </c>
      <c r="E232" s="13">
        <f t="shared" si="3"/>
        <v>3.0617833174725629E-4</v>
      </c>
      <c r="G232" s="4"/>
    </row>
    <row r="233" spans="1:7" x14ac:dyDescent="0.3">
      <c r="A233" s="25">
        <v>45772</v>
      </c>
      <c r="B233" s="13">
        <v>2354.3000000000002</v>
      </c>
      <c r="C233" s="13">
        <f>VLOOKUP(A:A,'Nifty 50 '!$A:$B,2,0)</f>
        <v>24039.35</v>
      </c>
      <c r="D233" s="13">
        <f t="shared" si="3"/>
        <v>6.5621200317352085E-3</v>
      </c>
      <c r="E233" s="13">
        <f t="shared" si="3"/>
        <v>1.1956431581801425E-2</v>
      </c>
      <c r="G233" s="4"/>
    </row>
    <row r="234" spans="1:7" x14ac:dyDescent="0.3">
      <c r="A234" s="25">
        <v>45771</v>
      </c>
      <c r="B234" s="13">
        <v>2442.5</v>
      </c>
      <c r="C234" s="13">
        <f>VLOOKUP(A:A,'Nifty 50 '!$A:$B,2,0)</f>
        <v>24246.7</v>
      </c>
      <c r="D234" s="13">
        <f t="shared" si="3"/>
        <v>-3.6778661566033259E-2</v>
      </c>
      <c r="E234" s="13">
        <f t="shared" si="3"/>
        <v>-8.588454617289994E-3</v>
      </c>
      <c r="G234" s="4"/>
    </row>
    <row r="235" spans="1:7" x14ac:dyDescent="0.3">
      <c r="A235" s="25">
        <v>45770</v>
      </c>
      <c r="B235" s="13">
        <v>2453.6</v>
      </c>
      <c r="C235" s="13">
        <f>VLOOKUP(A:A,'Nifty 50 '!$A:$B,2,0)</f>
        <v>24328.95</v>
      </c>
      <c r="D235" s="13">
        <f t="shared" si="3"/>
        <v>-4.5342288831039567E-3</v>
      </c>
      <c r="E235" s="13">
        <f t="shared" si="3"/>
        <v>-3.386473618159028E-3</v>
      </c>
      <c r="G235" s="4"/>
    </row>
    <row r="236" spans="1:7" x14ac:dyDescent="0.3">
      <c r="A236" s="25">
        <v>45769</v>
      </c>
      <c r="B236" s="13">
        <v>2445.5</v>
      </c>
      <c r="C236" s="13">
        <f>VLOOKUP(A:A,'Nifty 50 '!$A:$B,2,0)</f>
        <v>24167.25</v>
      </c>
      <c r="D236" s="13">
        <f t="shared" si="3"/>
        <v>3.3067328206298013E-3</v>
      </c>
      <c r="E236" s="13">
        <f t="shared" si="3"/>
        <v>6.6685884351257562E-3</v>
      </c>
      <c r="G236" s="4"/>
    </row>
    <row r="237" spans="1:7" x14ac:dyDescent="0.3">
      <c r="A237" s="25">
        <v>45768</v>
      </c>
      <c r="B237" s="13">
        <v>2442.6999999999998</v>
      </c>
      <c r="C237" s="13">
        <f>VLOOKUP(A:A,'Nifty 50 '!$A:$B,2,0)</f>
        <v>24125.55</v>
      </c>
      <c r="D237" s="13">
        <f t="shared" si="3"/>
        <v>1.1456160984556576E-3</v>
      </c>
      <c r="E237" s="13">
        <f t="shared" si="3"/>
        <v>1.726965939596701E-3</v>
      </c>
      <c r="G237" s="4"/>
    </row>
    <row r="238" spans="1:7" x14ac:dyDescent="0.3">
      <c r="A238" s="25">
        <v>45764</v>
      </c>
      <c r="B238" s="13">
        <v>2418.1</v>
      </c>
      <c r="C238" s="13">
        <f>VLOOKUP(A:A,'Nifty 50 '!$A:$B,2,0)</f>
        <v>23851.65</v>
      </c>
      <c r="D238" s="13">
        <f t="shared" si="3"/>
        <v>1.0121877068405167E-2</v>
      </c>
      <c r="E238" s="13">
        <f t="shared" si="3"/>
        <v>1.1418047561345738E-2</v>
      </c>
      <c r="G238" s="4"/>
    </row>
    <row r="239" spans="1:7" x14ac:dyDescent="0.3">
      <c r="A239" s="25">
        <v>45763</v>
      </c>
      <c r="B239" s="13">
        <v>2415.6</v>
      </c>
      <c r="C239" s="13">
        <f>VLOOKUP(A:A,'Nifty 50 '!$A:$B,2,0)</f>
        <v>23437.200000000001</v>
      </c>
      <c r="D239" s="13">
        <f t="shared" si="3"/>
        <v>1.03440437880508E-3</v>
      </c>
      <c r="E239" s="13">
        <f t="shared" si="3"/>
        <v>1.7528893682587383E-2</v>
      </c>
      <c r="G239" s="4"/>
    </row>
    <row r="240" spans="1:7" x14ac:dyDescent="0.3">
      <c r="A240" s="25">
        <v>45762</v>
      </c>
      <c r="B240" s="13">
        <v>2418.1999999999998</v>
      </c>
      <c r="C240" s="13">
        <f>VLOOKUP(A:A,'Nifty 50 '!$A:$B,2,0)</f>
        <v>23328.55</v>
      </c>
      <c r="D240" s="13">
        <f t="shared" si="3"/>
        <v>-1.0757583064002108E-3</v>
      </c>
      <c r="E240" s="13">
        <f t="shared" si="3"/>
        <v>4.6465712828317922E-3</v>
      </c>
      <c r="G240" s="4"/>
    </row>
    <row r="241" spans="1:7" x14ac:dyDescent="0.3">
      <c r="A241" s="25">
        <v>45758</v>
      </c>
      <c r="B241" s="13">
        <v>2321.4</v>
      </c>
      <c r="C241" s="13">
        <f>VLOOKUP(A:A,'Nifty 50 '!$A:$B,2,0)</f>
        <v>22828.55</v>
      </c>
      <c r="D241" s="13">
        <f t="shared" si="3"/>
        <v>4.0853009805624028E-2</v>
      </c>
      <c r="E241" s="13">
        <f t="shared" si="3"/>
        <v>2.16659867627985E-2</v>
      </c>
      <c r="G241" s="4"/>
    </row>
    <row r="242" spans="1:7" x14ac:dyDescent="0.3">
      <c r="A242" s="25">
        <v>45756</v>
      </c>
      <c r="B242" s="13">
        <v>2236.9</v>
      </c>
      <c r="C242" s="13">
        <f>VLOOKUP(A:A,'Nifty 50 '!$A:$B,2,0)</f>
        <v>22399.15</v>
      </c>
      <c r="D242" s="13">
        <f t="shared" si="3"/>
        <v>3.7079473170455728E-2</v>
      </c>
      <c r="E242" s="13">
        <f t="shared" si="3"/>
        <v>1.8988933890639957E-2</v>
      </c>
      <c r="G242" s="4"/>
    </row>
    <row r="243" spans="1:7" x14ac:dyDescent="0.3">
      <c r="A243" s="25">
        <v>45755</v>
      </c>
      <c r="B243" s="13">
        <v>2285.6999999999998</v>
      </c>
      <c r="C243" s="13">
        <f>VLOOKUP(A:A,'Nifty 50 '!$A:$B,2,0)</f>
        <v>22535.85</v>
      </c>
      <c r="D243" s="13">
        <f t="shared" si="3"/>
        <v>-2.1581344383006983E-2</v>
      </c>
      <c r="E243" s="13">
        <f t="shared" si="3"/>
        <v>-6.0843628224417504E-3</v>
      </c>
      <c r="G243" s="4"/>
    </row>
    <row r="244" spans="1:7" x14ac:dyDescent="0.3">
      <c r="A244" s="25">
        <v>45754</v>
      </c>
      <c r="B244" s="13">
        <v>2212.6999999999998</v>
      </c>
      <c r="C244" s="13">
        <f>VLOOKUP(A:A,'Nifty 50 '!$A:$B,2,0)</f>
        <v>22161.599999999999</v>
      </c>
      <c r="D244" s="13">
        <f t="shared" si="3"/>
        <v>3.2458833870188324E-2</v>
      </c>
      <c r="E244" s="13">
        <f t="shared" si="3"/>
        <v>1.6746313096183522E-2</v>
      </c>
      <c r="G244" s="4"/>
    </row>
    <row r="245" spans="1:7" x14ac:dyDescent="0.3">
      <c r="A245" s="25">
        <v>45751</v>
      </c>
      <c r="B245" s="13">
        <v>2334.65</v>
      </c>
      <c r="C245" s="13">
        <f>VLOOKUP(A:A,'Nifty 50 '!$A:$B,2,0)</f>
        <v>22904.45</v>
      </c>
      <c r="D245" s="13">
        <f t="shared" si="3"/>
        <v>-5.3648497657425118E-2</v>
      </c>
      <c r="E245" s="13">
        <f t="shared" si="3"/>
        <v>-3.2970153387305259E-2</v>
      </c>
      <c r="G245" s="4"/>
    </row>
    <row r="246" spans="1:7" x14ac:dyDescent="0.3">
      <c r="A246" s="25">
        <v>45750</v>
      </c>
      <c r="B246" s="13">
        <v>2410.8000000000002</v>
      </c>
      <c r="C246" s="13">
        <f>VLOOKUP(A:A,'Nifty 50 '!$A:$B,2,0)</f>
        <v>23250.1</v>
      </c>
      <c r="D246" s="13">
        <f t="shared" si="3"/>
        <v>-3.2096655674578763E-2</v>
      </c>
      <c r="E246" s="13">
        <f t="shared" si="3"/>
        <v>-1.4978218273382259E-2</v>
      </c>
      <c r="G246" s="4"/>
    </row>
    <row r="247" spans="1:7" x14ac:dyDescent="0.3">
      <c r="A247" s="25">
        <v>45749</v>
      </c>
      <c r="B247" s="13">
        <v>2369.4</v>
      </c>
      <c r="C247" s="13">
        <f>VLOOKUP(A:A,'Nifty 50 '!$A:$B,2,0)</f>
        <v>23332.35</v>
      </c>
      <c r="D247" s="13">
        <f t="shared" si="3"/>
        <v>1.7321884088230405E-2</v>
      </c>
      <c r="E247" s="13">
        <f t="shared" si="3"/>
        <v>-3.5313765366867989E-3</v>
      </c>
      <c r="G247" s="4"/>
    </row>
    <row r="248" spans="1:7" x14ac:dyDescent="0.3">
      <c r="A248" s="25">
        <v>45748</v>
      </c>
      <c r="B248" s="13">
        <v>2335.25</v>
      </c>
      <c r="C248" s="13">
        <f>VLOOKUP(A:A,'Nifty 50 '!$A:$B,2,0)</f>
        <v>23165.7</v>
      </c>
      <c r="D248" s="13">
        <f t="shared" si="3"/>
        <v>1.4517806767700737E-2</v>
      </c>
      <c r="E248" s="13">
        <f t="shared" si="3"/>
        <v>7.1680732227189349E-3</v>
      </c>
      <c r="G248" s="4"/>
    </row>
    <row r="249" spans="1:7" x14ac:dyDescent="0.3">
      <c r="A249" s="25">
        <v>45744</v>
      </c>
      <c r="B249" s="13">
        <v>2315.8000000000002</v>
      </c>
      <c r="C249" s="13">
        <f>VLOOKUP(A:A,'Nifty 50 '!$A:$B,2,0)</f>
        <v>23519.35</v>
      </c>
      <c r="D249" s="13">
        <f t="shared" si="3"/>
        <v>8.3637515747852862E-3</v>
      </c>
      <c r="E249" s="13">
        <f t="shared" si="3"/>
        <v>-1.5150750180769317E-2</v>
      </c>
      <c r="G249" s="4"/>
    </row>
    <row r="250" spans="1:7" x14ac:dyDescent="0.3">
      <c r="A250" s="25">
        <v>45743</v>
      </c>
      <c r="B250" s="13">
        <v>2363.35</v>
      </c>
      <c r="C250" s="13">
        <f>VLOOKUP(A:A,'Nifty 50 '!$A:$B,2,0)</f>
        <v>23591.95</v>
      </c>
      <c r="D250" s="13">
        <f t="shared" si="3"/>
        <v>-2.0324903841201846E-2</v>
      </c>
      <c r="E250" s="13">
        <f t="shared" si="3"/>
        <v>-3.0820655541120134E-3</v>
      </c>
      <c r="G250" s="4"/>
    </row>
    <row r="251" spans="1:7" x14ac:dyDescent="0.3">
      <c r="A251" s="25">
        <v>45742</v>
      </c>
      <c r="B251" s="13">
        <v>2312.6</v>
      </c>
      <c r="C251" s="13">
        <f>VLOOKUP(A:A,'Nifty 50 '!$A:$B,2,0)</f>
        <v>23486.85</v>
      </c>
      <c r="D251" s="13">
        <f t="shared" si="3"/>
        <v>2.1707671324513195E-2</v>
      </c>
      <c r="E251" s="13">
        <f t="shared" si="3"/>
        <v>4.4648620864278519E-3</v>
      </c>
      <c r="G251" s="4"/>
    </row>
    <row r="252" spans="1:7" x14ac:dyDescent="0.3">
      <c r="A252" s="25">
        <v>45741</v>
      </c>
      <c r="B252" s="13">
        <v>2320.35</v>
      </c>
      <c r="C252" s="13">
        <f>VLOOKUP(A:A,'Nifty 50 '!$A:$B,2,0)</f>
        <v>23668.65</v>
      </c>
      <c r="D252" s="13">
        <f t="shared" si="3"/>
        <v>-3.3456036559221629E-3</v>
      </c>
      <c r="E252" s="13">
        <f t="shared" si="3"/>
        <v>-7.710697617041672E-3</v>
      </c>
      <c r="G252" s="4"/>
    </row>
    <row r="253" spans="1:7" x14ac:dyDescent="0.3">
      <c r="A253" s="25">
        <v>45740</v>
      </c>
      <c r="B253" s="13">
        <v>2368.6999999999998</v>
      </c>
      <c r="C253" s="13">
        <f>VLOOKUP(A:A,'Nifty 50 '!$A:$B,2,0)</f>
        <v>23658.35</v>
      </c>
      <c r="D253" s="13">
        <f t="shared" si="3"/>
        <v>-2.0623245077752528E-2</v>
      </c>
      <c r="E253" s="13">
        <f t="shared" si="3"/>
        <v>4.3526951476421065E-4</v>
      </c>
      <c r="G253" s="4"/>
    </row>
    <row r="254" spans="1:7" x14ac:dyDescent="0.3">
      <c r="A254" s="25">
        <v>45737</v>
      </c>
      <c r="B254" s="13">
        <v>2362.8000000000002</v>
      </c>
      <c r="C254" s="13">
        <f>VLOOKUP(A:A,'Nifty 50 '!$A:$B,2,0)</f>
        <v>23350.400000000001</v>
      </c>
      <c r="D254" s="13">
        <f t="shared" si="3"/>
        <v>2.4939249954559809E-3</v>
      </c>
      <c r="E254" s="13">
        <f t="shared" si="3"/>
        <v>1.310200357491904E-2</v>
      </c>
      <c r="G254" s="4"/>
    </row>
    <row r="255" spans="1:7" x14ac:dyDescent="0.3">
      <c r="A255" s="25">
        <v>45736</v>
      </c>
      <c r="B255" s="13">
        <v>2339.3000000000002</v>
      </c>
      <c r="C255" s="13">
        <f>VLOOKUP(A:A,'Nifty 50 '!$A:$B,2,0)</f>
        <v>23190.65</v>
      </c>
      <c r="D255" s="13">
        <f t="shared" si="3"/>
        <v>9.9956171333587009E-3</v>
      </c>
      <c r="E255" s="13">
        <f t="shared" si="3"/>
        <v>6.8649343915537933E-3</v>
      </c>
      <c r="G255" s="4"/>
    </row>
    <row r="256" spans="1:7" x14ac:dyDescent="0.3">
      <c r="A256" s="25">
        <v>45735</v>
      </c>
      <c r="B256" s="13">
        <v>2318.65</v>
      </c>
      <c r="C256" s="13">
        <f>VLOOKUP(A:A,'Nifty 50 '!$A:$B,2,0)</f>
        <v>22907.599999999999</v>
      </c>
      <c r="D256" s="13">
        <f t="shared" si="3"/>
        <v>8.8666195585946159E-3</v>
      </c>
      <c r="E256" s="13">
        <f t="shared" si="3"/>
        <v>1.228044696739064E-2</v>
      </c>
      <c r="G256" s="4"/>
    </row>
    <row r="257" spans="1:7" x14ac:dyDescent="0.3">
      <c r="A257" s="25">
        <v>45734</v>
      </c>
      <c r="B257" s="13">
        <v>2308.5</v>
      </c>
      <c r="C257" s="13">
        <f>VLOOKUP(A:A,'Nifty 50 '!$A:$B,2,0)</f>
        <v>22834.3</v>
      </c>
      <c r="D257" s="13">
        <f t="shared" si="3"/>
        <v>4.3871567940834315E-3</v>
      </c>
      <c r="E257" s="13">
        <f t="shared" si="3"/>
        <v>3.2049417598595076E-3</v>
      </c>
      <c r="G257" s="4"/>
    </row>
    <row r="258" spans="1:7" x14ac:dyDescent="0.3">
      <c r="A258" s="25">
        <v>45733</v>
      </c>
      <c r="B258" s="13">
        <v>2252.6999999999998</v>
      </c>
      <c r="C258" s="13">
        <f>VLOOKUP(A:A,'Nifty 50 '!$A:$B,2,0)</f>
        <v>22508.75</v>
      </c>
      <c r="D258" s="13">
        <f t="shared" si="3"/>
        <v>2.4468466173095713E-2</v>
      </c>
      <c r="E258" s="13">
        <f t="shared" si="3"/>
        <v>1.4359668968781786E-2</v>
      </c>
      <c r="G258" s="4"/>
    </row>
    <row r="259" spans="1:7" x14ac:dyDescent="0.3">
      <c r="A259" s="25">
        <v>45729</v>
      </c>
      <c r="B259" s="13">
        <v>2221.1</v>
      </c>
      <c r="C259" s="13">
        <f>VLOOKUP(A:A,'Nifty 50 '!$A:$B,2,0)</f>
        <v>22397.200000000001</v>
      </c>
      <c r="D259" s="13">
        <f t="shared" si="3"/>
        <v>1.4126928129484706E-2</v>
      </c>
      <c r="E259" s="13">
        <f t="shared" si="3"/>
        <v>4.9681714537350846E-3</v>
      </c>
      <c r="G259" s="4"/>
    </row>
    <row r="260" spans="1:7" x14ac:dyDescent="0.3">
      <c r="A260" s="25">
        <v>45728</v>
      </c>
      <c r="B260" s="13">
        <v>2241.8000000000002</v>
      </c>
      <c r="C260" s="13">
        <f>VLOOKUP(A:A,'Nifty 50 '!$A:$B,2,0)</f>
        <v>22470.5</v>
      </c>
      <c r="D260" s="13">
        <f t="shared" ref="D260:E323" si="4">LN(B259/B260)</f>
        <v>-9.2765459425319247E-3</v>
      </c>
      <c r="E260" s="13">
        <f t="shared" si="4"/>
        <v>-3.2673867932358361E-3</v>
      </c>
      <c r="G260" s="4"/>
    </row>
    <row r="261" spans="1:7" x14ac:dyDescent="0.3">
      <c r="A261" s="25">
        <v>45727</v>
      </c>
      <c r="B261" s="13">
        <v>2250.6</v>
      </c>
      <c r="C261" s="13">
        <f>VLOOKUP(A:A,'Nifty 50 '!$A:$B,2,0)</f>
        <v>22497.9</v>
      </c>
      <c r="D261" s="13">
        <f t="shared" si="4"/>
        <v>-3.917732728901553E-3</v>
      </c>
      <c r="E261" s="13">
        <f t="shared" si="4"/>
        <v>-1.2186336801356743E-3</v>
      </c>
      <c r="G261" s="4"/>
    </row>
    <row r="262" spans="1:7" x14ac:dyDescent="0.3">
      <c r="A262" s="25">
        <v>45726</v>
      </c>
      <c r="B262" s="13">
        <v>2228.3000000000002</v>
      </c>
      <c r="C262" s="13">
        <f>VLOOKUP(A:A,'Nifty 50 '!$A:$B,2,0)</f>
        <v>22460.3</v>
      </c>
      <c r="D262" s="13">
        <f t="shared" si="4"/>
        <v>9.9578844229738697E-3</v>
      </c>
      <c r="E262" s="13">
        <f t="shared" si="4"/>
        <v>1.6726652208703832E-3</v>
      </c>
      <c r="G262" s="4"/>
    </row>
    <row r="263" spans="1:7" x14ac:dyDescent="0.3">
      <c r="A263" s="25">
        <v>45723</v>
      </c>
      <c r="B263" s="13">
        <v>2247.5</v>
      </c>
      <c r="C263" s="13">
        <f>VLOOKUP(A:A,'Nifty 50 '!$A:$B,2,0)</f>
        <v>22552.5</v>
      </c>
      <c r="D263" s="13">
        <f t="shared" si="4"/>
        <v>-8.579524452852736E-3</v>
      </c>
      <c r="E263" s="13">
        <f t="shared" si="4"/>
        <v>-4.0966182483126905E-3</v>
      </c>
      <c r="G263" s="4"/>
    </row>
    <row r="264" spans="1:7" x14ac:dyDescent="0.3">
      <c r="A264" s="25">
        <v>45722</v>
      </c>
      <c r="B264" s="13">
        <v>2252.85</v>
      </c>
      <c r="C264" s="13">
        <f>VLOOKUP(A:A,'Nifty 50 '!$A:$B,2,0)</f>
        <v>22544.7</v>
      </c>
      <c r="D264" s="13">
        <f t="shared" si="4"/>
        <v>-2.3775939739240238E-3</v>
      </c>
      <c r="E264" s="13">
        <f t="shared" si="4"/>
        <v>3.4591948403792664E-4</v>
      </c>
      <c r="G264" s="4"/>
    </row>
    <row r="265" spans="1:7" x14ac:dyDescent="0.3">
      <c r="A265" s="25">
        <v>45721</v>
      </c>
      <c r="B265" s="13">
        <v>2245.85</v>
      </c>
      <c r="C265" s="13">
        <f>VLOOKUP(A:A,'Nifty 50 '!$A:$B,2,0)</f>
        <v>22337.3</v>
      </c>
      <c r="D265" s="13">
        <f t="shared" si="4"/>
        <v>3.1120126478149089E-3</v>
      </c>
      <c r="E265" s="13">
        <f t="shared" si="4"/>
        <v>9.2420781725971422E-3</v>
      </c>
      <c r="G265" s="4"/>
    </row>
    <row r="266" spans="1:7" x14ac:dyDescent="0.3">
      <c r="A266" s="25">
        <v>45720</v>
      </c>
      <c r="B266" s="13">
        <v>2144.8000000000002</v>
      </c>
      <c r="C266" s="13">
        <f>VLOOKUP(A:A,'Nifty 50 '!$A:$B,2,0)</f>
        <v>22082.65</v>
      </c>
      <c r="D266" s="13">
        <f t="shared" si="4"/>
        <v>4.6037760750135007E-2</v>
      </c>
      <c r="E266" s="13">
        <f t="shared" si="4"/>
        <v>1.1465694568782813E-2</v>
      </c>
      <c r="G266" s="4"/>
    </row>
    <row r="267" spans="1:7" x14ac:dyDescent="0.3">
      <c r="A267" s="25">
        <v>45719</v>
      </c>
      <c r="B267" s="13">
        <v>2117.1</v>
      </c>
      <c r="C267" s="13">
        <f>VLOOKUP(A:A,'Nifty 50 '!$A:$B,2,0)</f>
        <v>22119.3</v>
      </c>
      <c r="D267" s="13">
        <f t="shared" si="4"/>
        <v>1.2999080246855421E-2</v>
      </c>
      <c r="E267" s="13">
        <f t="shared" si="4"/>
        <v>-1.6582982605433554E-3</v>
      </c>
      <c r="G267" s="4"/>
    </row>
    <row r="268" spans="1:7" x14ac:dyDescent="0.3">
      <c r="A268" s="25">
        <v>45716</v>
      </c>
      <c r="B268" s="13">
        <v>2096</v>
      </c>
      <c r="C268" s="13">
        <f>VLOOKUP(A:A,'Nifty 50 '!$A:$B,2,0)</f>
        <v>22124.7</v>
      </c>
      <c r="D268" s="13">
        <f t="shared" si="4"/>
        <v>1.0016461233961507E-2</v>
      </c>
      <c r="E268" s="13">
        <f t="shared" si="4"/>
        <v>-2.4410089624874701E-4</v>
      </c>
      <c r="G268" s="4"/>
    </row>
    <row r="269" spans="1:7" x14ac:dyDescent="0.3">
      <c r="A269" s="25">
        <v>45715</v>
      </c>
      <c r="B269" s="13">
        <v>2110.9499999999998</v>
      </c>
      <c r="C269" s="13">
        <f>VLOOKUP(A:A,'Nifty 50 '!$A:$B,2,0)</f>
        <v>22545.05</v>
      </c>
      <c r="D269" s="13">
        <f t="shared" si="4"/>
        <v>-7.1073166697536005E-3</v>
      </c>
      <c r="E269" s="13">
        <f t="shared" si="4"/>
        <v>-1.8820898177206152E-2</v>
      </c>
      <c r="G269" s="4"/>
    </row>
    <row r="270" spans="1:7" x14ac:dyDescent="0.3">
      <c r="A270" s="25">
        <v>45713</v>
      </c>
      <c r="B270" s="13">
        <v>2129.85</v>
      </c>
      <c r="C270" s="13">
        <f>VLOOKUP(A:A,'Nifty 50 '!$A:$B,2,0)</f>
        <v>22547.55</v>
      </c>
      <c r="D270" s="13">
        <f t="shared" si="4"/>
        <v>-8.9134715777899557E-3</v>
      </c>
      <c r="E270" s="13">
        <f t="shared" si="4"/>
        <v>-1.108829387776427E-4</v>
      </c>
      <c r="G270" s="4"/>
    </row>
    <row r="271" spans="1:7" x14ac:dyDescent="0.3">
      <c r="A271" s="25">
        <v>45712</v>
      </c>
      <c r="B271" s="13">
        <v>2115.15</v>
      </c>
      <c r="C271" s="13">
        <f>VLOOKUP(A:A,'Nifty 50 '!$A:$B,2,0)</f>
        <v>22553.35</v>
      </c>
      <c r="D271" s="13">
        <f t="shared" si="4"/>
        <v>6.9258227371274701E-3</v>
      </c>
      <c r="E271" s="13">
        <f t="shared" si="4"/>
        <v>-2.5720107722782741E-4</v>
      </c>
      <c r="G271" s="4"/>
    </row>
    <row r="272" spans="1:7" x14ac:dyDescent="0.3">
      <c r="A272" s="25">
        <v>45709</v>
      </c>
      <c r="B272" s="13">
        <v>2133.1</v>
      </c>
      <c r="C272" s="13">
        <f>VLOOKUP(A:A,'Nifty 50 '!$A:$B,2,0)</f>
        <v>22795.9</v>
      </c>
      <c r="D272" s="13">
        <f t="shared" si="4"/>
        <v>-8.4505887464231839E-3</v>
      </c>
      <c r="E272" s="13">
        <f t="shared" si="4"/>
        <v>-1.069708155537406E-2</v>
      </c>
      <c r="G272" s="4"/>
    </row>
    <row r="273" spans="1:7" x14ac:dyDescent="0.3">
      <c r="A273" s="25">
        <v>45708</v>
      </c>
      <c r="B273" s="13">
        <v>2179</v>
      </c>
      <c r="C273" s="13">
        <f>VLOOKUP(A:A,'Nifty 50 '!$A:$B,2,0)</f>
        <v>22913.15</v>
      </c>
      <c r="D273" s="13">
        <f t="shared" si="4"/>
        <v>-2.1289735246847862E-2</v>
      </c>
      <c r="E273" s="13">
        <f t="shared" si="4"/>
        <v>-5.1302863291465021E-3</v>
      </c>
      <c r="G273" s="4"/>
    </row>
    <row r="274" spans="1:7" x14ac:dyDescent="0.3">
      <c r="A274" s="25">
        <v>45707</v>
      </c>
      <c r="B274" s="13">
        <v>2180.8000000000002</v>
      </c>
      <c r="C274" s="13">
        <f>VLOOKUP(A:A,'Nifty 50 '!$A:$B,2,0)</f>
        <v>22932.9</v>
      </c>
      <c r="D274" s="13">
        <f t="shared" si="4"/>
        <v>-8.2572599764835718E-4</v>
      </c>
      <c r="E274" s="13">
        <f t="shared" si="4"/>
        <v>-8.615791860687675E-4</v>
      </c>
      <c r="G274" s="4"/>
    </row>
    <row r="275" spans="1:7" x14ac:dyDescent="0.3">
      <c r="A275" s="25">
        <v>45706</v>
      </c>
      <c r="B275" s="13">
        <v>2220.3000000000002</v>
      </c>
      <c r="C275" s="13">
        <f>VLOOKUP(A:A,'Nifty 50 '!$A:$B,2,0)</f>
        <v>22945.3</v>
      </c>
      <c r="D275" s="13">
        <f t="shared" si="4"/>
        <v>-1.7950539929262176E-2</v>
      </c>
      <c r="E275" s="13">
        <f t="shared" si="4"/>
        <v>-5.4056176144420191E-4</v>
      </c>
      <c r="G275" s="4"/>
    </row>
    <row r="276" spans="1:7" x14ac:dyDescent="0.3">
      <c r="A276" s="25">
        <v>45705</v>
      </c>
      <c r="B276" s="13">
        <v>2223.6999999999998</v>
      </c>
      <c r="C276" s="13">
        <f>VLOOKUP(A:A,'Nifty 50 '!$A:$B,2,0)</f>
        <v>22959.5</v>
      </c>
      <c r="D276" s="13">
        <f t="shared" si="4"/>
        <v>-1.5301533138558027E-3</v>
      </c>
      <c r="E276" s="13">
        <f t="shared" si="4"/>
        <v>-6.1867170548291742E-4</v>
      </c>
      <c r="G276" s="4"/>
    </row>
    <row r="277" spans="1:7" x14ac:dyDescent="0.3">
      <c r="A277" s="25">
        <v>45702</v>
      </c>
      <c r="B277" s="13">
        <v>2152.65</v>
      </c>
      <c r="C277" s="13">
        <f>VLOOKUP(A:A,'Nifty 50 '!$A:$B,2,0)</f>
        <v>22929.25</v>
      </c>
      <c r="D277" s="13">
        <f t="shared" si="4"/>
        <v>3.2472833900335597E-2</v>
      </c>
      <c r="E277" s="13">
        <f t="shared" si="4"/>
        <v>1.318406118349223E-3</v>
      </c>
      <c r="G277" s="4"/>
    </row>
    <row r="278" spans="1:7" x14ac:dyDescent="0.3">
      <c r="A278" s="25">
        <v>45701</v>
      </c>
      <c r="B278" s="13">
        <v>2244.6999999999998</v>
      </c>
      <c r="C278" s="13">
        <f>VLOOKUP(A:A,'Nifty 50 '!$A:$B,2,0)</f>
        <v>23031.4</v>
      </c>
      <c r="D278" s="13">
        <f t="shared" si="4"/>
        <v>-4.1872240672449032E-2</v>
      </c>
      <c r="E278" s="13">
        <f t="shared" si="4"/>
        <v>-4.4451141660866375E-3</v>
      </c>
      <c r="G278" s="4"/>
    </row>
    <row r="279" spans="1:7" x14ac:dyDescent="0.3">
      <c r="A279" s="25">
        <v>45700</v>
      </c>
      <c r="B279" s="13">
        <v>2353.4499999999998</v>
      </c>
      <c r="C279" s="13">
        <f>VLOOKUP(A:A,'Nifty 50 '!$A:$B,2,0)</f>
        <v>23045.25</v>
      </c>
      <c r="D279" s="13">
        <f t="shared" si="4"/>
        <v>-4.73104547036967E-2</v>
      </c>
      <c r="E279" s="13">
        <f t="shared" si="4"/>
        <v>-6.0117219533637628E-4</v>
      </c>
      <c r="G279" s="4"/>
    </row>
    <row r="280" spans="1:7" x14ac:dyDescent="0.3">
      <c r="A280" s="25">
        <v>45699</v>
      </c>
      <c r="B280" s="13">
        <v>2321.75</v>
      </c>
      <c r="C280" s="13">
        <f>VLOOKUP(A:A,'Nifty 50 '!$A:$B,2,0)</f>
        <v>23071.8</v>
      </c>
      <c r="D280" s="13">
        <f t="shared" si="4"/>
        <v>1.3561125005078684E-2</v>
      </c>
      <c r="E280" s="13">
        <f t="shared" si="4"/>
        <v>-1.1514180951839536E-3</v>
      </c>
      <c r="G280" s="4"/>
    </row>
    <row r="281" spans="1:7" x14ac:dyDescent="0.3">
      <c r="A281" s="25">
        <v>45698</v>
      </c>
      <c r="B281" s="13">
        <v>2290.8000000000002</v>
      </c>
      <c r="C281" s="13">
        <f>VLOOKUP(A:A,'Nifty 50 '!$A:$B,2,0)</f>
        <v>23381.599999999999</v>
      </c>
      <c r="D281" s="13">
        <f t="shared" si="4"/>
        <v>1.3420110136415342E-2</v>
      </c>
      <c r="E281" s="13">
        <f t="shared" si="4"/>
        <v>-1.3338295712820561E-2</v>
      </c>
      <c r="G281" s="4"/>
    </row>
    <row r="282" spans="1:7" x14ac:dyDescent="0.3">
      <c r="A282" s="25">
        <v>45695</v>
      </c>
      <c r="B282" s="13">
        <v>2338.8000000000002</v>
      </c>
      <c r="C282" s="13">
        <f>VLOOKUP(A:A,'Nifty 50 '!$A:$B,2,0)</f>
        <v>23559.95</v>
      </c>
      <c r="D282" s="13">
        <f t="shared" si="4"/>
        <v>-2.0736875781813203E-2</v>
      </c>
      <c r="E282" s="13">
        <f t="shared" si="4"/>
        <v>-7.598848278210316E-3</v>
      </c>
      <c r="G282" s="4"/>
    </row>
    <row r="283" spans="1:7" x14ac:dyDescent="0.3">
      <c r="A283" s="25">
        <v>45694</v>
      </c>
      <c r="B283" s="13">
        <v>2312.4499999999998</v>
      </c>
      <c r="C283" s="13">
        <f>VLOOKUP(A:A,'Nifty 50 '!$A:$B,2,0)</f>
        <v>23603.35</v>
      </c>
      <c r="D283" s="13">
        <f t="shared" si="4"/>
        <v>1.1330408770307533E-2</v>
      </c>
      <c r="E283" s="13">
        <f t="shared" si="4"/>
        <v>-1.8404145702315485E-3</v>
      </c>
      <c r="G283" s="4"/>
    </row>
    <row r="284" spans="1:7" x14ac:dyDescent="0.3">
      <c r="A284" s="25">
        <v>45693</v>
      </c>
      <c r="B284" s="13">
        <v>2324.6</v>
      </c>
      <c r="C284" s="13">
        <f>VLOOKUP(A:A,'Nifty 50 '!$A:$B,2,0)</f>
        <v>23696.3</v>
      </c>
      <c r="D284" s="13">
        <f t="shared" si="4"/>
        <v>-5.2404126783995872E-3</v>
      </c>
      <c r="E284" s="13">
        <f t="shared" si="4"/>
        <v>-3.9302666996406553E-3</v>
      </c>
      <c r="G284" s="4"/>
    </row>
    <row r="285" spans="1:7" x14ac:dyDescent="0.3">
      <c r="A285" s="25">
        <v>45692</v>
      </c>
      <c r="B285" s="13">
        <v>2301.5</v>
      </c>
      <c r="C285" s="13">
        <f>VLOOKUP(A:A,'Nifty 50 '!$A:$B,2,0)</f>
        <v>23739.25</v>
      </c>
      <c r="D285" s="13">
        <f t="shared" si="4"/>
        <v>9.9868969523114019E-3</v>
      </c>
      <c r="E285" s="13">
        <f t="shared" si="4"/>
        <v>-1.8108786231885072E-3</v>
      </c>
      <c r="G285" s="4"/>
    </row>
    <row r="286" spans="1:7" x14ac:dyDescent="0.3">
      <c r="A286" s="25">
        <v>45691</v>
      </c>
      <c r="B286" s="13">
        <v>2261.85</v>
      </c>
      <c r="C286" s="13">
        <f>VLOOKUP(A:A,'Nifty 50 '!$A:$B,2,0)</f>
        <v>23361.05</v>
      </c>
      <c r="D286" s="13">
        <f t="shared" si="4"/>
        <v>1.7378021777381826E-2</v>
      </c>
      <c r="E286" s="13">
        <f t="shared" si="4"/>
        <v>1.6059690853104273E-2</v>
      </c>
      <c r="G286" s="4"/>
    </row>
    <row r="287" spans="1:7" x14ac:dyDescent="0.3">
      <c r="A287" s="25">
        <v>45689</v>
      </c>
      <c r="B287" s="13">
        <v>2270</v>
      </c>
      <c r="C287" s="13">
        <f>VLOOKUP(A:A,'Nifty 50 '!$A:$B,2,0)</f>
        <v>23482.15</v>
      </c>
      <c r="D287" s="13">
        <f t="shared" si="4"/>
        <v>-3.5967689955340751E-3</v>
      </c>
      <c r="E287" s="13">
        <f t="shared" si="4"/>
        <v>-5.1704524791751734E-3</v>
      </c>
      <c r="G287" s="4"/>
    </row>
    <row r="288" spans="1:7" x14ac:dyDescent="0.3">
      <c r="A288" s="25">
        <v>45688</v>
      </c>
      <c r="B288" s="13">
        <v>2287.8000000000002</v>
      </c>
      <c r="C288" s="13">
        <f>VLOOKUP(A:A,'Nifty 50 '!$A:$B,2,0)</f>
        <v>23508.400000000001</v>
      </c>
      <c r="D288" s="13">
        <f t="shared" si="4"/>
        <v>-7.8108256161248026E-3</v>
      </c>
      <c r="E288" s="13">
        <f t="shared" si="4"/>
        <v>-1.1172460305538994E-3</v>
      </c>
      <c r="G288" s="4"/>
    </row>
    <row r="289" spans="1:7" x14ac:dyDescent="0.3">
      <c r="A289" s="25">
        <v>45687</v>
      </c>
      <c r="B289" s="13">
        <v>2252.6</v>
      </c>
      <c r="C289" s="13">
        <f>VLOOKUP(A:A,'Nifty 50 '!$A:$B,2,0)</f>
        <v>23249.5</v>
      </c>
      <c r="D289" s="13">
        <f t="shared" si="4"/>
        <v>1.5505552477976968E-2</v>
      </c>
      <c r="E289" s="13">
        <f t="shared" si="4"/>
        <v>1.1074177663955638E-2</v>
      </c>
      <c r="G289" s="4"/>
    </row>
    <row r="290" spans="1:7" x14ac:dyDescent="0.3">
      <c r="A290" s="25">
        <v>45686</v>
      </c>
      <c r="B290" s="13">
        <v>2318.6</v>
      </c>
      <c r="C290" s="13">
        <f>VLOOKUP(A:A,'Nifty 50 '!$A:$B,2,0)</f>
        <v>23163.1</v>
      </c>
      <c r="D290" s="13">
        <f t="shared" si="4"/>
        <v>-2.887845062270487E-2</v>
      </c>
      <c r="E290" s="13">
        <f t="shared" si="4"/>
        <v>3.7231312102430775E-3</v>
      </c>
      <c r="G290" s="4"/>
    </row>
    <row r="291" spans="1:7" x14ac:dyDescent="0.3">
      <c r="A291" s="25">
        <v>45685</v>
      </c>
      <c r="B291" s="13">
        <v>2286.0500000000002</v>
      </c>
      <c r="C291" s="13">
        <f>VLOOKUP(A:A,'Nifty 50 '!$A:$B,2,0)</f>
        <v>22957.25</v>
      </c>
      <c r="D291" s="13">
        <f t="shared" si="4"/>
        <v>1.4138117854772847E-2</v>
      </c>
      <c r="E291" s="13">
        <f t="shared" si="4"/>
        <v>8.9267044567532539E-3</v>
      </c>
      <c r="G291" s="4"/>
    </row>
    <row r="292" spans="1:7" x14ac:dyDescent="0.3">
      <c r="A292" s="25">
        <v>45684</v>
      </c>
      <c r="B292" s="13">
        <v>2259.6999999999998</v>
      </c>
      <c r="C292" s="13">
        <f>VLOOKUP(A:A,'Nifty 50 '!$A:$B,2,0)</f>
        <v>22829.15</v>
      </c>
      <c r="D292" s="13">
        <f t="shared" si="4"/>
        <v>1.1593376289208699E-2</v>
      </c>
      <c r="E292" s="13">
        <f t="shared" si="4"/>
        <v>5.5955626228530505E-3</v>
      </c>
      <c r="G292" s="4"/>
    </row>
    <row r="293" spans="1:7" x14ac:dyDescent="0.3">
      <c r="A293" s="25">
        <v>45681</v>
      </c>
      <c r="B293" s="13">
        <v>2315.1</v>
      </c>
      <c r="C293" s="13">
        <f>VLOOKUP(A:A,'Nifty 50 '!$A:$B,2,0)</f>
        <v>23092.2</v>
      </c>
      <c r="D293" s="13">
        <f t="shared" si="4"/>
        <v>-2.422082203934731E-2</v>
      </c>
      <c r="E293" s="13">
        <f t="shared" si="4"/>
        <v>-1.1456670033394137E-2</v>
      </c>
      <c r="G293" s="4"/>
    </row>
    <row r="294" spans="1:7" x14ac:dyDescent="0.3">
      <c r="A294" s="25">
        <v>45680</v>
      </c>
      <c r="B294" s="13">
        <v>2385</v>
      </c>
      <c r="C294" s="13">
        <f>VLOOKUP(A:A,'Nifty 50 '!$A:$B,2,0)</f>
        <v>23205.35</v>
      </c>
      <c r="D294" s="13">
        <f t="shared" si="4"/>
        <v>-2.9746241190774576E-2</v>
      </c>
      <c r="E294" s="13">
        <f t="shared" si="4"/>
        <v>-4.8879573663295961E-3</v>
      </c>
      <c r="G294" s="4"/>
    </row>
    <row r="295" spans="1:7" x14ac:dyDescent="0.3">
      <c r="A295" s="25">
        <v>45679</v>
      </c>
      <c r="B295" s="13">
        <v>2376.5500000000002</v>
      </c>
      <c r="C295" s="13">
        <f>VLOOKUP(A:A,'Nifty 50 '!$A:$B,2,0)</f>
        <v>23155.35</v>
      </c>
      <c r="D295" s="13">
        <f t="shared" si="4"/>
        <v>3.5492681461288013E-3</v>
      </c>
      <c r="E295" s="13">
        <f t="shared" si="4"/>
        <v>2.1570001913706685E-3</v>
      </c>
      <c r="G295" s="4"/>
    </row>
    <row r="296" spans="1:7" x14ac:dyDescent="0.3">
      <c r="A296" s="25">
        <v>45678</v>
      </c>
      <c r="B296" s="13">
        <v>2384.3000000000002</v>
      </c>
      <c r="C296" s="13">
        <f>VLOOKUP(A:A,'Nifty 50 '!$A:$B,2,0)</f>
        <v>23024.65</v>
      </c>
      <c r="D296" s="13">
        <f t="shared" si="4"/>
        <v>-3.2557240180486149E-3</v>
      </c>
      <c r="E296" s="13">
        <f t="shared" si="4"/>
        <v>5.6604741870661156E-3</v>
      </c>
      <c r="G296" s="4"/>
    </row>
    <row r="297" spans="1:7" x14ac:dyDescent="0.3">
      <c r="A297" s="25">
        <v>45677</v>
      </c>
      <c r="B297" s="13">
        <v>2442.8000000000002</v>
      </c>
      <c r="C297" s="13">
        <f>VLOOKUP(A:A,'Nifty 50 '!$A:$B,2,0)</f>
        <v>23344.75</v>
      </c>
      <c r="D297" s="13">
        <f t="shared" si="4"/>
        <v>-2.423934215461826E-2</v>
      </c>
      <c r="E297" s="13">
        <f t="shared" si="4"/>
        <v>-1.3806738277095545E-2</v>
      </c>
      <c r="G297" s="4"/>
    </row>
    <row r="298" spans="1:7" x14ac:dyDescent="0.3">
      <c r="A298" s="25">
        <v>45674</v>
      </c>
      <c r="B298" s="13">
        <v>2399.8000000000002</v>
      </c>
      <c r="C298" s="13">
        <f>VLOOKUP(A:A,'Nifty 50 '!$A:$B,2,0)</f>
        <v>23203.200000000001</v>
      </c>
      <c r="D298" s="13">
        <f t="shared" si="4"/>
        <v>1.7759521818691074E-2</v>
      </c>
      <c r="E298" s="13">
        <f t="shared" si="4"/>
        <v>6.0819192391741118E-3</v>
      </c>
      <c r="G298" s="4"/>
    </row>
    <row r="299" spans="1:7" x14ac:dyDescent="0.3">
      <c r="A299" s="25">
        <v>45673</v>
      </c>
      <c r="B299" s="13">
        <v>2427.85</v>
      </c>
      <c r="C299" s="13">
        <f>VLOOKUP(A:A,'Nifty 50 '!$A:$B,2,0)</f>
        <v>23311.8</v>
      </c>
      <c r="D299" s="13">
        <f t="shared" si="4"/>
        <v>-1.1620691498509677E-2</v>
      </c>
      <c r="E299" s="13">
        <f t="shared" si="4"/>
        <v>-4.6694699484325849E-3</v>
      </c>
      <c r="G299" s="4"/>
    </row>
    <row r="300" spans="1:7" x14ac:dyDescent="0.3">
      <c r="A300" s="25">
        <v>45672</v>
      </c>
      <c r="B300" s="13">
        <v>2388.15</v>
      </c>
      <c r="C300" s="13">
        <f>VLOOKUP(A:A,'Nifty 50 '!$A:$B,2,0)</f>
        <v>23213.200000000001</v>
      </c>
      <c r="D300" s="13">
        <f t="shared" si="4"/>
        <v>1.6487084418674851E-2</v>
      </c>
      <c r="E300" s="13">
        <f t="shared" si="4"/>
        <v>4.2385877535739327E-3</v>
      </c>
      <c r="G300" s="4"/>
    </row>
    <row r="301" spans="1:7" x14ac:dyDescent="0.3">
      <c r="A301" s="25">
        <v>45671</v>
      </c>
      <c r="B301" s="13">
        <v>2380.5500000000002</v>
      </c>
      <c r="C301" s="13">
        <f>VLOOKUP(A:A,'Nifty 50 '!$A:$B,2,0)</f>
        <v>23176.05</v>
      </c>
      <c r="D301" s="13">
        <f t="shared" si="4"/>
        <v>3.1874542053723434E-3</v>
      </c>
      <c r="E301" s="13">
        <f t="shared" si="4"/>
        <v>1.6016645210618786E-3</v>
      </c>
      <c r="G301" s="4"/>
    </row>
    <row r="302" spans="1:7" x14ac:dyDescent="0.3">
      <c r="A302" s="25">
        <v>45670</v>
      </c>
      <c r="B302" s="13">
        <v>2225.15</v>
      </c>
      <c r="C302" s="13">
        <f>VLOOKUP(A:A,'Nifty 50 '!$A:$B,2,0)</f>
        <v>23085.95</v>
      </c>
      <c r="D302" s="13">
        <f t="shared" si="4"/>
        <v>6.7507224346411626E-2</v>
      </c>
      <c r="E302" s="13">
        <f t="shared" si="4"/>
        <v>3.8952104933376291E-3</v>
      </c>
      <c r="G302" s="4"/>
    </row>
    <row r="303" spans="1:7" x14ac:dyDescent="0.3">
      <c r="A303" s="25">
        <v>45667</v>
      </c>
      <c r="B303" s="13">
        <v>2374.4</v>
      </c>
      <c r="C303" s="13">
        <f>VLOOKUP(A:A,'Nifty 50 '!$A:$B,2,0)</f>
        <v>23431.5</v>
      </c>
      <c r="D303" s="13">
        <f t="shared" si="4"/>
        <v>-6.4920444914721848E-2</v>
      </c>
      <c r="E303" s="13">
        <f t="shared" si="4"/>
        <v>-1.4857063581440453E-2</v>
      </c>
      <c r="G303" s="4"/>
    </row>
    <row r="304" spans="1:7" x14ac:dyDescent="0.3">
      <c r="A304" s="25">
        <v>45666</v>
      </c>
      <c r="B304" s="13">
        <v>2477.9</v>
      </c>
      <c r="C304" s="13">
        <f>VLOOKUP(A:A,'Nifty 50 '!$A:$B,2,0)</f>
        <v>23526.5</v>
      </c>
      <c r="D304" s="13">
        <f t="shared" si="4"/>
        <v>-4.2666653276635554E-2</v>
      </c>
      <c r="E304" s="13">
        <f t="shared" si="4"/>
        <v>-4.0461744370668276E-3</v>
      </c>
      <c r="G304" s="4"/>
    </row>
    <row r="305" spans="1:7" x14ac:dyDescent="0.3">
      <c r="A305" s="25">
        <v>45665</v>
      </c>
      <c r="B305" s="13">
        <v>2515.25</v>
      </c>
      <c r="C305" s="13">
        <f>VLOOKUP(A:A,'Nifty 50 '!$A:$B,2,0)</f>
        <v>23688.95</v>
      </c>
      <c r="D305" s="13">
        <f t="shared" si="4"/>
        <v>-1.4960774922463102E-2</v>
      </c>
      <c r="E305" s="13">
        <f t="shared" si="4"/>
        <v>-6.8812492953755225E-3</v>
      </c>
      <c r="G305" s="4"/>
    </row>
    <row r="306" spans="1:7" x14ac:dyDescent="0.3">
      <c r="A306" s="25">
        <v>45664</v>
      </c>
      <c r="B306" s="13">
        <v>2520.5500000000002</v>
      </c>
      <c r="C306" s="13">
        <f>VLOOKUP(A:A,'Nifty 50 '!$A:$B,2,0)</f>
        <v>23707.9</v>
      </c>
      <c r="D306" s="13">
        <f t="shared" si="4"/>
        <v>-2.1049294876305702E-3</v>
      </c>
      <c r="E306" s="13">
        <f t="shared" si="4"/>
        <v>-7.9963124172743882E-4</v>
      </c>
      <c r="G306" s="4"/>
    </row>
    <row r="307" spans="1:7" x14ac:dyDescent="0.3">
      <c r="A307" s="25">
        <v>45663</v>
      </c>
      <c r="B307" s="13">
        <v>2474.4499999999998</v>
      </c>
      <c r="C307" s="13">
        <f>VLOOKUP(A:A,'Nifty 50 '!$A:$B,2,0)</f>
        <v>23616.05</v>
      </c>
      <c r="D307" s="13">
        <f t="shared" si="4"/>
        <v>1.8458982574238812E-2</v>
      </c>
      <c r="E307" s="13">
        <f t="shared" si="4"/>
        <v>3.8817603067130878E-3</v>
      </c>
      <c r="G307" s="4"/>
    </row>
    <row r="308" spans="1:7" x14ac:dyDescent="0.3">
      <c r="A308" s="25">
        <v>45660</v>
      </c>
      <c r="B308" s="13">
        <v>2564.6</v>
      </c>
      <c r="C308" s="13">
        <f>VLOOKUP(A:A,'Nifty 50 '!$A:$B,2,0)</f>
        <v>24004.75</v>
      </c>
      <c r="D308" s="13">
        <f t="shared" si="4"/>
        <v>-3.5784371939463613E-2</v>
      </c>
      <c r="E308" s="13">
        <f t="shared" si="4"/>
        <v>-1.6325161807199819E-2</v>
      </c>
      <c r="G308" s="4"/>
    </row>
    <row r="309" spans="1:7" x14ac:dyDescent="0.3">
      <c r="A309" s="25">
        <v>45659</v>
      </c>
      <c r="B309" s="13">
        <v>2597.6999999999998</v>
      </c>
      <c r="C309" s="13">
        <f>VLOOKUP(A:A,'Nifty 50 '!$A:$B,2,0)</f>
        <v>24188.65</v>
      </c>
      <c r="D309" s="13">
        <f t="shared" si="4"/>
        <v>-1.2823917096849711E-2</v>
      </c>
      <c r="E309" s="13">
        <f t="shared" si="4"/>
        <v>-7.6317874477081537E-3</v>
      </c>
      <c r="G309" s="4"/>
    </row>
    <row r="310" spans="1:7" x14ac:dyDescent="0.3">
      <c r="A310" s="25">
        <v>45658</v>
      </c>
      <c r="B310" s="13">
        <v>2554.85</v>
      </c>
      <c r="C310" s="13">
        <f>VLOOKUP(A:A,'Nifty 50 '!$A:$B,2,0)</f>
        <v>23742.9</v>
      </c>
      <c r="D310" s="13">
        <f t="shared" si="4"/>
        <v>1.6632924622339573E-2</v>
      </c>
      <c r="E310" s="13">
        <f t="shared" si="4"/>
        <v>1.8599976460843735E-2</v>
      </c>
      <c r="G310" s="4"/>
    </row>
    <row r="311" spans="1:7" x14ac:dyDescent="0.3">
      <c r="A311" s="25">
        <v>45657</v>
      </c>
      <c r="B311" s="13">
        <v>2528.65</v>
      </c>
      <c r="C311" s="13">
        <f>VLOOKUP(A:A,'Nifty 50 '!$A:$B,2,0)</f>
        <v>23644.799999999999</v>
      </c>
      <c r="D311" s="13">
        <f t="shared" si="4"/>
        <v>1.0307950029360229E-2</v>
      </c>
      <c r="E311" s="13">
        <f t="shared" si="4"/>
        <v>4.1403208063656048E-3</v>
      </c>
      <c r="G311" s="4"/>
    </row>
    <row r="312" spans="1:7" x14ac:dyDescent="0.3">
      <c r="A312" s="25">
        <v>45656</v>
      </c>
      <c r="B312" s="13">
        <v>2592.35</v>
      </c>
      <c r="C312" s="13">
        <f>VLOOKUP(A:A,'Nifty 50 '!$A:$B,2,0)</f>
        <v>23644.9</v>
      </c>
      <c r="D312" s="13">
        <f t="shared" si="4"/>
        <v>-2.4879236750350905E-2</v>
      </c>
      <c r="E312" s="13">
        <f t="shared" si="4"/>
        <v>-4.229250767129392E-6</v>
      </c>
      <c r="G312" s="4"/>
    </row>
    <row r="313" spans="1:7" x14ac:dyDescent="0.3">
      <c r="A313" s="25">
        <v>45653</v>
      </c>
      <c r="B313" s="13">
        <v>2409.9499999999998</v>
      </c>
      <c r="C313" s="13">
        <f>VLOOKUP(A:A,'Nifty 50 '!$A:$B,2,0)</f>
        <v>23813.4</v>
      </c>
      <c r="D313" s="13">
        <f t="shared" si="4"/>
        <v>7.2958799839002081E-2</v>
      </c>
      <c r="E313" s="13">
        <f t="shared" si="4"/>
        <v>-7.1010005853283714E-3</v>
      </c>
      <c r="G313" s="4"/>
    </row>
    <row r="314" spans="1:7" x14ac:dyDescent="0.3">
      <c r="A314" s="25">
        <v>45652</v>
      </c>
      <c r="B314" s="13">
        <v>2400.25</v>
      </c>
      <c r="C314" s="13">
        <f>VLOOKUP(A:A,'Nifty 50 '!$A:$B,2,0)</f>
        <v>23750.2</v>
      </c>
      <c r="D314" s="13">
        <f t="shared" si="4"/>
        <v>4.0331018037810702E-3</v>
      </c>
      <c r="E314" s="13">
        <f t="shared" si="4"/>
        <v>2.6574959504618452E-3</v>
      </c>
      <c r="G314" s="4"/>
    </row>
    <row r="315" spans="1:7" x14ac:dyDescent="0.3">
      <c r="A315" s="25">
        <v>45650</v>
      </c>
      <c r="B315" s="13">
        <v>2372.4499999999998</v>
      </c>
      <c r="C315" s="13">
        <f>VLOOKUP(A:A,'Nifty 50 '!$A:$B,2,0)</f>
        <v>23727.65</v>
      </c>
      <c r="D315" s="13">
        <f t="shared" si="4"/>
        <v>1.1649722131322756E-2</v>
      </c>
      <c r="E315" s="13">
        <f t="shared" si="4"/>
        <v>9.4991671677012402E-4</v>
      </c>
      <c r="G315" s="4"/>
    </row>
    <row r="316" spans="1:7" x14ac:dyDescent="0.3">
      <c r="A316" s="25">
        <v>45649</v>
      </c>
      <c r="B316" s="13">
        <v>2338.9499999999998</v>
      </c>
      <c r="C316" s="13">
        <f>VLOOKUP(A:A,'Nifty 50 '!$A:$B,2,0)</f>
        <v>23753.45</v>
      </c>
      <c r="D316" s="13">
        <f t="shared" si="4"/>
        <v>1.4221065747406423E-2</v>
      </c>
      <c r="E316" s="13">
        <f t="shared" si="4"/>
        <v>-1.0867483078192092E-3</v>
      </c>
      <c r="G316" s="4"/>
    </row>
    <row r="317" spans="1:7" x14ac:dyDescent="0.3">
      <c r="A317" s="25">
        <v>45646</v>
      </c>
      <c r="B317" s="13">
        <v>2344.9499999999998</v>
      </c>
      <c r="C317" s="13">
        <f>VLOOKUP(A:A,'Nifty 50 '!$A:$B,2,0)</f>
        <v>23587.5</v>
      </c>
      <c r="D317" s="13">
        <f t="shared" si="4"/>
        <v>-2.5619689924389101E-3</v>
      </c>
      <c r="E317" s="13">
        <f t="shared" si="4"/>
        <v>7.0108723942055237E-3</v>
      </c>
      <c r="G317" s="4"/>
    </row>
    <row r="318" spans="1:7" x14ac:dyDescent="0.3">
      <c r="A318" s="25">
        <v>45645</v>
      </c>
      <c r="B318" s="13">
        <v>2419.35</v>
      </c>
      <c r="C318" s="13">
        <f>VLOOKUP(A:A,'Nifty 50 '!$A:$B,2,0)</f>
        <v>23951.7</v>
      </c>
      <c r="D318" s="13">
        <f t="shared" si="4"/>
        <v>-3.1234829339858237E-2</v>
      </c>
      <c r="E318" s="13">
        <f t="shared" si="4"/>
        <v>-1.5322391854064712E-2</v>
      </c>
      <c r="G318" s="4"/>
    </row>
    <row r="319" spans="1:7" x14ac:dyDescent="0.3">
      <c r="A319" s="25">
        <v>45644</v>
      </c>
      <c r="B319" s="13">
        <v>2457.4</v>
      </c>
      <c r="C319" s="13">
        <f>VLOOKUP(A:A,'Nifty 50 '!$A:$B,2,0)</f>
        <v>24198.85</v>
      </c>
      <c r="D319" s="13">
        <f t="shared" si="4"/>
        <v>-1.5604971402169735E-2</v>
      </c>
      <c r="E319" s="13">
        <f t="shared" si="4"/>
        <v>-1.0265808823608006E-2</v>
      </c>
      <c r="G319" s="4"/>
    </row>
    <row r="320" spans="1:7" x14ac:dyDescent="0.3">
      <c r="A320" s="25">
        <v>45643</v>
      </c>
      <c r="B320" s="13">
        <v>2487.6</v>
      </c>
      <c r="C320" s="13">
        <f>VLOOKUP(A:A,'Nifty 50 '!$A:$B,2,0)</f>
        <v>24336</v>
      </c>
      <c r="D320" s="13">
        <f t="shared" si="4"/>
        <v>-1.221450979626325E-2</v>
      </c>
      <c r="E320" s="13">
        <f t="shared" si="4"/>
        <v>-5.6516241445957781E-3</v>
      </c>
      <c r="G320" s="4"/>
    </row>
    <row r="321" spans="1:7" x14ac:dyDescent="0.3">
      <c r="A321" s="25">
        <v>45642</v>
      </c>
      <c r="B321" s="13">
        <v>2512.4</v>
      </c>
      <c r="C321" s="13">
        <f>VLOOKUP(A:A,'Nifty 50 '!$A:$B,2,0)</f>
        <v>24668.25</v>
      </c>
      <c r="D321" s="13">
        <f t="shared" si="4"/>
        <v>-9.9200813504915879E-3</v>
      </c>
      <c r="E321" s="13">
        <f t="shared" si="4"/>
        <v>-1.3560256148274351E-2</v>
      </c>
      <c r="G321" s="4"/>
    </row>
    <row r="322" spans="1:7" x14ac:dyDescent="0.3">
      <c r="A322" s="25">
        <v>45639</v>
      </c>
      <c r="B322" s="13">
        <v>2527.5500000000002</v>
      </c>
      <c r="C322" s="13">
        <f>VLOOKUP(A:A,'Nifty 50 '!$A:$B,2,0)</f>
        <v>24768.3</v>
      </c>
      <c r="D322" s="13">
        <f t="shared" si="4"/>
        <v>-6.0119825124014415E-3</v>
      </c>
      <c r="E322" s="13">
        <f t="shared" si="4"/>
        <v>-4.0476180718514044E-3</v>
      </c>
      <c r="G322" s="4"/>
    </row>
    <row r="323" spans="1:7" x14ac:dyDescent="0.3">
      <c r="A323" s="25">
        <v>45638</v>
      </c>
      <c r="B323" s="13">
        <v>2504.1</v>
      </c>
      <c r="C323" s="13">
        <f>VLOOKUP(A:A,'Nifty 50 '!$A:$B,2,0)</f>
        <v>24548.7</v>
      </c>
      <c r="D323" s="13">
        <f t="shared" si="4"/>
        <v>9.3210655678265444E-3</v>
      </c>
      <c r="E323" s="13">
        <f t="shared" si="4"/>
        <v>8.9057100554239786E-3</v>
      </c>
      <c r="G323" s="4"/>
    </row>
    <row r="324" spans="1:7" x14ac:dyDescent="0.3">
      <c r="A324" s="25">
        <v>45637</v>
      </c>
      <c r="B324" s="13">
        <v>2457.25</v>
      </c>
      <c r="C324" s="13">
        <f>VLOOKUP(A:A,'Nifty 50 '!$A:$B,2,0)</f>
        <v>24641.8</v>
      </c>
      <c r="D324" s="13">
        <f t="shared" ref="D324:E387" si="5">LN(B323/B324)</f>
        <v>1.8886550078061899E-2</v>
      </c>
      <c r="E324" s="13">
        <f t="shared" si="5"/>
        <v>-3.7852882635684751E-3</v>
      </c>
      <c r="G324" s="4"/>
    </row>
    <row r="325" spans="1:7" x14ac:dyDescent="0.3">
      <c r="A325" s="25">
        <v>45636</v>
      </c>
      <c r="B325" s="13">
        <v>2467.1999999999998</v>
      </c>
      <c r="C325" s="13">
        <f>VLOOKUP(A:A,'Nifty 50 '!$A:$B,2,0)</f>
        <v>24610.05</v>
      </c>
      <c r="D325" s="13">
        <f t="shared" si="5"/>
        <v>-4.0410659222715533E-3</v>
      </c>
      <c r="E325" s="13">
        <f t="shared" si="5"/>
        <v>1.2892918498735822E-3</v>
      </c>
      <c r="G325" s="4"/>
    </row>
    <row r="326" spans="1:7" x14ac:dyDescent="0.3">
      <c r="A326" s="25">
        <v>45635</v>
      </c>
      <c r="B326" s="13">
        <v>2495.85</v>
      </c>
      <c r="C326" s="13">
        <f>VLOOKUP(A:A,'Nifty 50 '!$A:$B,2,0)</f>
        <v>24619</v>
      </c>
      <c r="D326" s="13">
        <f t="shared" si="5"/>
        <v>-1.1545448160615666E-2</v>
      </c>
      <c r="E326" s="13">
        <f t="shared" si="5"/>
        <v>-3.6360645182499104E-4</v>
      </c>
      <c r="G326" s="4"/>
    </row>
    <row r="327" spans="1:7" x14ac:dyDescent="0.3">
      <c r="A327" s="25">
        <v>45632</v>
      </c>
      <c r="B327" s="13">
        <v>2506.4</v>
      </c>
      <c r="C327" s="13">
        <f>VLOOKUP(A:A,'Nifty 50 '!$A:$B,2,0)</f>
        <v>24677.8</v>
      </c>
      <c r="D327" s="13">
        <f t="shared" si="5"/>
        <v>-4.218108108356146E-3</v>
      </c>
      <c r="E327" s="13">
        <f t="shared" si="5"/>
        <v>-2.3855515118706054E-3</v>
      </c>
      <c r="G327" s="4"/>
    </row>
    <row r="328" spans="1:7" x14ac:dyDescent="0.3">
      <c r="A328" s="25">
        <v>45631</v>
      </c>
      <c r="B328" s="13">
        <v>2522.5500000000002</v>
      </c>
      <c r="C328" s="13">
        <f>VLOOKUP(A:A,'Nifty 50 '!$A:$B,2,0)</f>
        <v>24708.400000000001</v>
      </c>
      <c r="D328" s="13">
        <f t="shared" si="5"/>
        <v>-6.4228339988866758E-3</v>
      </c>
      <c r="E328" s="13">
        <f t="shared" si="5"/>
        <v>-1.2392127321359235E-3</v>
      </c>
      <c r="G328" s="4"/>
    </row>
    <row r="329" spans="1:7" x14ac:dyDescent="0.3">
      <c r="A329" s="25">
        <v>45630</v>
      </c>
      <c r="B329" s="13">
        <v>2494.75</v>
      </c>
      <c r="C329" s="13">
        <f>VLOOKUP(A:A,'Nifty 50 '!$A:$B,2,0)</f>
        <v>24467.45</v>
      </c>
      <c r="D329" s="13">
        <f t="shared" si="5"/>
        <v>1.1081770872446895E-2</v>
      </c>
      <c r="E329" s="13">
        <f t="shared" si="5"/>
        <v>9.7996040025433873E-3</v>
      </c>
      <c r="G329" s="4"/>
    </row>
    <row r="330" spans="1:7" x14ac:dyDescent="0.3">
      <c r="A330" s="25">
        <v>45629</v>
      </c>
      <c r="B330" s="13">
        <v>2514.1999999999998</v>
      </c>
      <c r="C330" s="13">
        <f>VLOOKUP(A:A,'Nifty 50 '!$A:$B,2,0)</f>
        <v>24457.15</v>
      </c>
      <c r="D330" s="13">
        <f t="shared" si="5"/>
        <v>-7.7661377163086498E-3</v>
      </c>
      <c r="E330" s="13">
        <f t="shared" si="5"/>
        <v>4.2105608026115151E-4</v>
      </c>
      <c r="G330" s="4"/>
    </row>
    <row r="331" spans="1:7" x14ac:dyDescent="0.3">
      <c r="A331" s="25">
        <v>45628</v>
      </c>
      <c r="B331" s="13">
        <v>2457.0500000000002</v>
      </c>
      <c r="C331" s="13">
        <f>VLOOKUP(A:A,'Nifty 50 '!$A:$B,2,0)</f>
        <v>24276.05</v>
      </c>
      <c r="D331" s="13">
        <f t="shared" si="5"/>
        <v>2.2993218146260305E-2</v>
      </c>
      <c r="E331" s="13">
        <f t="shared" si="5"/>
        <v>7.4323390894845123E-3</v>
      </c>
      <c r="G331" s="4"/>
    </row>
    <row r="332" spans="1:7" x14ac:dyDescent="0.3">
      <c r="A332" s="25">
        <v>45625</v>
      </c>
      <c r="B332" s="13">
        <v>2463.15</v>
      </c>
      <c r="C332" s="13">
        <f>VLOOKUP(A:A,'Nifty 50 '!$A:$B,2,0)</f>
        <v>24131.1</v>
      </c>
      <c r="D332" s="13">
        <f t="shared" si="5"/>
        <v>-2.4795752714857557E-3</v>
      </c>
      <c r="E332" s="13">
        <f t="shared" si="5"/>
        <v>5.988802614002176E-3</v>
      </c>
      <c r="G332" s="4"/>
    </row>
    <row r="333" spans="1:7" x14ac:dyDescent="0.3">
      <c r="A333" s="25">
        <v>45624</v>
      </c>
      <c r="B333" s="13">
        <v>2437.1</v>
      </c>
      <c r="C333" s="13">
        <f>VLOOKUP(A:A,'Nifty 50 '!$A:$B,2,0)</f>
        <v>23914.15</v>
      </c>
      <c r="D333" s="13">
        <f t="shared" si="5"/>
        <v>1.06322107643554E-2</v>
      </c>
      <c r="E333" s="13">
        <f t="shared" si="5"/>
        <v>9.0311310507838367E-3</v>
      </c>
      <c r="G333" s="4"/>
    </row>
    <row r="334" spans="1:7" x14ac:dyDescent="0.3">
      <c r="A334" s="25">
        <v>45623</v>
      </c>
      <c r="B334" s="13">
        <v>2397.8000000000002</v>
      </c>
      <c r="C334" s="13">
        <f>VLOOKUP(A:A,'Nifty 50 '!$A:$B,2,0)</f>
        <v>24274.9</v>
      </c>
      <c r="D334" s="13">
        <f t="shared" si="5"/>
        <v>1.625715756804736E-2</v>
      </c>
      <c r="E334" s="13">
        <f t="shared" si="5"/>
        <v>-1.4972560750343969E-2</v>
      </c>
      <c r="G334" s="4"/>
    </row>
    <row r="335" spans="1:7" x14ac:dyDescent="0.3">
      <c r="A335" s="25">
        <v>45622</v>
      </c>
      <c r="B335" s="13">
        <v>2150.5</v>
      </c>
      <c r="C335" s="13">
        <f>VLOOKUP(A:A,'Nifty 50 '!$A:$B,2,0)</f>
        <v>24194.5</v>
      </c>
      <c r="D335" s="13">
        <f t="shared" si="5"/>
        <v>0.10885127704976234</v>
      </c>
      <c r="E335" s="13">
        <f t="shared" si="5"/>
        <v>3.3175600994260466E-3</v>
      </c>
      <c r="G335" s="4"/>
    </row>
    <row r="336" spans="1:7" x14ac:dyDescent="0.3">
      <c r="A336" s="25">
        <v>45621</v>
      </c>
      <c r="B336" s="13">
        <v>2257.5</v>
      </c>
      <c r="C336" s="13">
        <f>VLOOKUP(A:A,'Nifty 50 '!$A:$B,2,0)</f>
        <v>24221.9</v>
      </c>
      <c r="D336" s="13">
        <f t="shared" si="5"/>
        <v>-4.8557633067349427E-2</v>
      </c>
      <c r="E336" s="13">
        <f t="shared" si="5"/>
        <v>-1.1318480070857482E-3</v>
      </c>
      <c r="G336" s="4"/>
    </row>
    <row r="337" spans="1:7" x14ac:dyDescent="0.3">
      <c r="A337" s="25">
        <v>45618</v>
      </c>
      <c r="B337" s="13">
        <v>2228</v>
      </c>
      <c r="C337" s="13">
        <f>VLOOKUP(A:A,'Nifty 50 '!$A:$B,2,0)</f>
        <v>23907.25</v>
      </c>
      <c r="D337" s="13">
        <f t="shared" si="5"/>
        <v>1.3153684243965758E-2</v>
      </c>
      <c r="E337" s="13">
        <f t="shared" si="5"/>
        <v>1.307542239477766E-2</v>
      </c>
      <c r="G337" s="4"/>
    </row>
    <row r="338" spans="1:7" x14ac:dyDescent="0.3">
      <c r="A338" s="25">
        <v>45617</v>
      </c>
      <c r="B338" s="13">
        <v>2183.65</v>
      </c>
      <c r="C338" s="13">
        <f>VLOOKUP(A:A,'Nifty 50 '!$A:$B,2,0)</f>
        <v>23349.9</v>
      </c>
      <c r="D338" s="13">
        <f t="shared" si="5"/>
        <v>2.0106533435065892E-2</v>
      </c>
      <c r="E338" s="13">
        <f t="shared" si="5"/>
        <v>2.3589058766826355E-2</v>
      </c>
      <c r="G338" s="4"/>
    </row>
    <row r="339" spans="1:7" x14ac:dyDescent="0.3">
      <c r="A339" s="25">
        <v>45615</v>
      </c>
      <c r="B339" s="13">
        <v>2821.5</v>
      </c>
      <c r="C339" s="13">
        <f>VLOOKUP(A:A,'Nifty 50 '!$A:$B,2,0)</f>
        <v>23518.5</v>
      </c>
      <c r="D339" s="13">
        <f t="shared" si="5"/>
        <v>-0.25627086979708608</v>
      </c>
      <c r="E339" s="13">
        <f t="shared" si="5"/>
        <v>-7.1946440359882038E-3</v>
      </c>
      <c r="G339" s="4"/>
    </row>
    <row r="340" spans="1:7" x14ac:dyDescent="0.3">
      <c r="A340" s="25">
        <v>45614</v>
      </c>
      <c r="B340" s="13">
        <v>2818.7</v>
      </c>
      <c r="C340" s="13">
        <f>VLOOKUP(A:A,'Nifty 50 '!$A:$B,2,0)</f>
        <v>23453.8</v>
      </c>
      <c r="D340" s="13">
        <f t="shared" si="5"/>
        <v>9.9287267473478704E-4</v>
      </c>
      <c r="E340" s="13">
        <f t="shared" si="5"/>
        <v>2.7548168140559032E-3</v>
      </c>
      <c r="G340" s="4"/>
    </row>
    <row r="341" spans="1:7" x14ac:dyDescent="0.3">
      <c r="A341" s="25">
        <v>45610</v>
      </c>
      <c r="B341" s="13">
        <v>2826.8</v>
      </c>
      <c r="C341" s="13">
        <f>VLOOKUP(A:A,'Nifty 50 '!$A:$B,2,0)</f>
        <v>23532.7</v>
      </c>
      <c r="D341" s="13">
        <f t="shared" si="5"/>
        <v>-2.869544082239208E-3</v>
      </c>
      <c r="E341" s="13">
        <f t="shared" si="5"/>
        <v>-3.3584146152224673E-3</v>
      </c>
      <c r="G341" s="4"/>
    </row>
    <row r="342" spans="1:7" x14ac:dyDescent="0.3">
      <c r="A342" s="25">
        <v>45609</v>
      </c>
      <c r="B342" s="13">
        <v>2816.7</v>
      </c>
      <c r="C342" s="13">
        <f>VLOOKUP(A:A,'Nifty 50 '!$A:$B,2,0)</f>
        <v>23559.05</v>
      </c>
      <c r="D342" s="13">
        <f t="shared" si="5"/>
        <v>3.5793428840878269E-3</v>
      </c>
      <c r="E342" s="13">
        <f t="shared" si="5"/>
        <v>-1.1190921021192711E-3</v>
      </c>
      <c r="G342" s="4"/>
    </row>
    <row r="343" spans="1:7" x14ac:dyDescent="0.3">
      <c r="A343" s="25">
        <v>45608</v>
      </c>
      <c r="B343" s="13">
        <v>2870</v>
      </c>
      <c r="C343" s="13">
        <f>VLOOKUP(A:A,'Nifty 50 '!$A:$B,2,0)</f>
        <v>23883.45</v>
      </c>
      <c r="D343" s="13">
        <f t="shared" si="5"/>
        <v>-1.8746042821055447E-2</v>
      </c>
      <c r="E343" s="13">
        <f t="shared" si="5"/>
        <v>-1.367571506132014E-2</v>
      </c>
      <c r="G343" s="4"/>
    </row>
    <row r="344" spans="1:7" x14ac:dyDescent="0.3">
      <c r="A344" s="25">
        <v>45607</v>
      </c>
      <c r="B344" s="13">
        <v>2903.65</v>
      </c>
      <c r="C344" s="13">
        <f>VLOOKUP(A:A,'Nifty 50 '!$A:$B,2,0)</f>
        <v>24141.3</v>
      </c>
      <c r="D344" s="13">
        <f t="shared" si="5"/>
        <v>-1.1656536511511517E-2</v>
      </c>
      <c r="E344" s="13">
        <f t="shared" si="5"/>
        <v>-1.0738316295232621E-2</v>
      </c>
      <c r="G344" s="4"/>
    </row>
    <row r="345" spans="1:7" x14ac:dyDescent="0.3">
      <c r="A345" s="25">
        <v>45604</v>
      </c>
      <c r="B345" s="13">
        <v>2929.1</v>
      </c>
      <c r="C345" s="13">
        <f>VLOOKUP(A:A,'Nifty 50 '!$A:$B,2,0)</f>
        <v>24148.2</v>
      </c>
      <c r="D345" s="13">
        <f t="shared" si="5"/>
        <v>-8.7266423249217438E-3</v>
      </c>
      <c r="E345" s="13">
        <f t="shared" si="5"/>
        <v>-2.8577641296602358E-4</v>
      </c>
      <c r="G345" s="4"/>
    </row>
    <row r="346" spans="1:7" x14ac:dyDescent="0.3">
      <c r="A346" s="25">
        <v>45603</v>
      </c>
      <c r="B346" s="13">
        <v>2970.1</v>
      </c>
      <c r="C346" s="13">
        <f>VLOOKUP(A:A,'Nifty 50 '!$A:$B,2,0)</f>
        <v>24199.35</v>
      </c>
      <c r="D346" s="13">
        <f t="shared" si="5"/>
        <v>-1.3900413673492405E-2</v>
      </c>
      <c r="E346" s="13">
        <f t="shared" si="5"/>
        <v>-2.115930138503043E-3</v>
      </c>
      <c r="G346" s="4"/>
    </row>
    <row r="347" spans="1:7" x14ac:dyDescent="0.3">
      <c r="A347" s="25">
        <v>45602</v>
      </c>
      <c r="B347" s="13">
        <v>3046.25</v>
      </c>
      <c r="C347" s="13">
        <f>VLOOKUP(A:A,'Nifty 50 '!$A:$B,2,0)</f>
        <v>24484.05</v>
      </c>
      <c r="D347" s="13">
        <f t="shared" si="5"/>
        <v>-2.5315703675823493E-2</v>
      </c>
      <c r="E347" s="13">
        <f t="shared" si="5"/>
        <v>-1.1696111838928169E-2</v>
      </c>
      <c r="G347" s="4"/>
    </row>
    <row r="348" spans="1:7" x14ac:dyDescent="0.3">
      <c r="A348" s="25">
        <v>45601</v>
      </c>
      <c r="B348" s="13">
        <v>2915.55</v>
      </c>
      <c r="C348" s="13">
        <f>VLOOKUP(A:A,'Nifty 50 '!$A:$B,2,0)</f>
        <v>24213.3</v>
      </c>
      <c r="D348" s="13">
        <f t="shared" si="5"/>
        <v>4.3852844707230339E-2</v>
      </c>
      <c r="E348" s="13">
        <f t="shared" si="5"/>
        <v>1.111981616471547E-2</v>
      </c>
      <c r="G348" s="4"/>
    </row>
    <row r="349" spans="1:7" x14ac:dyDescent="0.3">
      <c r="A349" s="25">
        <v>45600</v>
      </c>
      <c r="B349" s="13">
        <v>2897.4</v>
      </c>
      <c r="C349" s="13">
        <f>VLOOKUP(A:A,'Nifty 50 '!$A:$B,2,0)</f>
        <v>23995.35</v>
      </c>
      <c r="D349" s="13">
        <f t="shared" si="5"/>
        <v>6.2446981246345604E-3</v>
      </c>
      <c r="E349" s="13">
        <f t="shared" si="5"/>
        <v>9.0420073960085362E-3</v>
      </c>
      <c r="G349" s="4"/>
    </row>
    <row r="350" spans="1:7" x14ac:dyDescent="0.3">
      <c r="A350" s="25">
        <v>45597</v>
      </c>
      <c r="B350" s="13">
        <v>2949.5</v>
      </c>
      <c r="C350" s="13">
        <f>VLOOKUP(A:A,'Nifty 50 '!$A:$B,2,0)</f>
        <v>24304.35</v>
      </c>
      <c r="D350" s="13">
        <f t="shared" si="5"/>
        <v>-1.7821881335578736E-2</v>
      </c>
      <c r="E350" s="13">
        <f t="shared" si="5"/>
        <v>-1.2795285095394087E-2</v>
      </c>
      <c r="G350" s="4"/>
    </row>
    <row r="351" spans="1:7" x14ac:dyDescent="0.3">
      <c r="A351" s="25">
        <v>45596</v>
      </c>
      <c r="B351" s="13">
        <v>2947.25</v>
      </c>
      <c r="C351" s="13">
        <f>VLOOKUP(A:A,'Nifty 50 '!$A:$B,2,0)</f>
        <v>24205.35</v>
      </c>
      <c r="D351" s="13">
        <f t="shared" si="5"/>
        <v>7.631322708931287E-4</v>
      </c>
      <c r="E351" s="13">
        <f t="shared" si="5"/>
        <v>4.0816635619174632E-3</v>
      </c>
      <c r="G351" s="4"/>
    </row>
    <row r="352" spans="1:7" x14ac:dyDescent="0.3">
      <c r="A352" s="25">
        <v>45595</v>
      </c>
      <c r="B352" s="13">
        <v>2969.3</v>
      </c>
      <c r="C352" s="13">
        <f>VLOOKUP(A:A,'Nifty 50 '!$A:$B,2,0)</f>
        <v>24340.85</v>
      </c>
      <c r="D352" s="13">
        <f t="shared" si="5"/>
        <v>-7.4537026095097235E-3</v>
      </c>
      <c r="E352" s="13">
        <f t="shared" si="5"/>
        <v>-5.582325779352925E-3</v>
      </c>
      <c r="G352" s="4"/>
    </row>
    <row r="353" spans="1:7" x14ac:dyDescent="0.3">
      <c r="A353" s="25">
        <v>45594</v>
      </c>
      <c r="B353" s="13">
        <v>2848.6</v>
      </c>
      <c r="C353" s="13">
        <f>VLOOKUP(A:A,'Nifty 50 '!$A:$B,2,0)</f>
        <v>24466.85</v>
      </c>
      <c r="D353" s="13">
        <f t="shared" si="5"/>
        <v>4.1498589281260698E-2</v>
      </c>
      <c r="E353" s="13">
        <f t="shared" si="5"/>
        <v>-5.1631312234782087E-3</v>
      </c>
      <c r="G353" s="4"/>
    </row>
    <row r="354" spans="1:7" x14ac:dyDescent="0.3">
      <c r="A354" s="25">
        <v>45593</v>
      </c>
      <c r="B354" s="13">
        <v>2798.65</v>
      </c>
      <c r="C354" s="13">
        <f>VLOOKUP(A:A,'Nifty 50 '!$A:$B,2,0)</f>
        <v>24339.15</v>
      </c>
      <c r="D354" s="13">
        <f t="shared" si="5"/>
        <v>1.7690487462574202E-2</v>
      </c>
      <c r="E354" s="13">
        <f t="shared" si="5"/>
        <v>5.2329751018960107E-3</v>
      </c>
      <c r="G354" s="4"/>
    </row>
    <row r="355" spans="1:7" x14ac:dyDescent="0.3">
      <c r="A355" s="25">
        <v>45590</v>
      </c>
      <c r="B355" s="13">
        <v>2693.45</v>
      </c>
      <c r="C355" s="13">
        <f>VLOOKUP(A:A,'Nifty 50 '!$A:$B,2,0)</f>
        <v>24180.799999999999</v>
      </c>
      <c r="D355" s="13">
        <f t="shared" si="5"/>
        <v>3.831425829734407E-2</v>
      </c>
      <c r="E355" s="13">
        <f t="shared" si="5"/>
        <v>6.5272351766822402E-3</v>
      </c>
      <c r="G355" s="4"/>
    </row>
    <row r="356" spans="1:7" x14ac:dyDescent="0.3">
      <c r="A356" s="25">
        <v>45589</v>
      </c>
      <c r="B356" s="13">
        <v>2830.2</v>
      </c>
      <c r="C356" s="13">
        <f>VLOOKUP(A:A,'Nifty 50 '!$A:$B,2,0)</f>
        <v>24399.4</v>
      </c>
      <c r="D356" s="13">
        <f t="shared" si="5"/>
        <v>-4.9524480777703279E-2</v>
      </c>
      <c r="E356" s="13">
        <f t="shared" si="5"/>
        <v>-8.999611999159645E-3</v>
      </c>
      <c r="G356" s="4"/>
    </row>
    <row r="357" spans="1:7" x14ac:dyDescent="0.3">
      <c r="A357" s="25">
        <v>45588</v>
      </c>
      <c r="B357" s="13">
        <v>2835.55</v>
      </c>
      <c r="C357" s="13">
        <f>VLOOKUP(A:A,'Nifty 50 '!$A:$B,2,0)</f>
        <v>24435.5</v>
      </c>
      <c r="D357" s="13">
        <f t="shared" si="5"/>
        <v>-1.8885413546676844E-3</v>
      </c>
      <c r="E357" s="13">
        <f t="shared" si="5"/>
        <v>-1.4784511312879243E-3</v>
      </c>
      <c r="G357" s="4"/>
    </row>
    <row r="358" spans="1:7" x14ac:dyDescent="0.3">
      <c r="A358" s="25">
        <v>45587</v>
      </c>
      <c r="B358" s="13">
        <v>2823.8</v>
      </c>
      <c r="C358" s="13">
        <f>VLOOKUP(A:A,'Nifty 50 '!$A:$B,2,0)</f>
        <v>24472.1</v>
      </c>
      <c r="D358" s="13">
        <f t="shared" si="5"/>
        <v>4.1524262975137722E-3</v>
      </c>
      <c r="E358" s="13">
        <f t="shared" si="5"/>
        <v>-1.4967001787999864E-3</v>
      </c>
      <c r="G358" s="4"/>
    </row>
    <row r="359" spans="1:7" x14ac:dyDescent="0.3">
      <c r="A359" s="25">
        <v>45586</v>
      </c>
      <c r="B359" s="13">
        <v>2937.65</v>
      </c>
      <c r="C359" s="13">
        <f>VLOOKUP(A:A,'Nifty 50 '!$A:$B,2,0)</f>
        <v>24781.1</v>
      </c>
      <c r="D359" s="13">
        <f t="shared" si="5"/>
        <v>-3.9526446403063908E-2</v>
      </c>
      <c r="E359" s="13">
        <f t="shared" si="5"/>
        <v>-1.2547572710405439E-2</v>
      </c>
      <c r="G359" s="4"/>
    </row>
    <row r="360" spans="1:7" x14ac:dyDescent="0.3">
      <c r="A360" s="25">
        <v>45583</v>
      </c>
      <c r="B360" s="13">
        <v>3002</v>
      </c>
      <c r="C360" s="13">
        <f>VLOOKUP(A:A,'Nifty 50 '!$A:$B,2,0)</f>
        <v>24854.05</v>
      </c>
      <c r="D360" s="13">
        <f t="shared" si="5"/>
        <v>-2.1668791214918517E-2</v>
      </c>
      <c r="E360" s="13">
        <f t="shared" si="5"/>
        <v>-2.9394512770190822E-3</v>
      </c>
      <c r="G360" s="4"/>
    </row>
    <row r="361" spans="1:7" x14ac:dyDescent="0.3">
      <c r="A361" s="25">
        <v>45582</v>
      </c>
      <c r="B361" s="13">
        <v>3013.75</v>
      </c>
      <c r="C361" s="13">
        <f>VLOOKUP(A:A,'Nifty 50 '!$A:$B,2,0)</f>
        <v>24749.85</v>
      </c>
      <c r="D361" s="13">
        <f t="shared" si="5"/>
        <v>-3.9064173019735283E-3</v>
      </c>
      <c r="E361" s="13">
        <f t="shared" si="5"/>
        <v>4.2012887401181526E-3</v>
      </c>
      <c r="G361" s="4"/>
    </row>
    <row r="362" spans="1:7" x14ac:dyDescent="0.3">
      <c r="A362" s="25">
        <v>45581</v>
      </c>
      <c r="B362" s="13">
        <v>3085.9</v>
      </c>
      <c r="C362" s="13">
        <f>VLOOKUP(A:A,'Nifty 50 '!$A:$B,2,0)</f>
        <v>24971.3</v>
      </c>
      <c r="D362" s="13">
        <f t="shared" si="5"/>
        <v>-2.3658198495691837E-2</v>
      </c>
      <c r="E362" s="13">
        <f t="shared" si="5"/>
        <v>-8.9077370211750866E-3</v>
      </c>
      <c r="G362" s="4"/>
    </row>
    <row r="363" spans="1:7" x14ac:dyDescent="0.3">
      <c r="A363" s="25">
        <v>45580</v>
      </c>
      <c r="B363" s="13">
        <v>3104.7</v>
      </c>
      <c r="C363" s="13">
        <f>VLOOKUP(A:A,'Nifty 50 '!$A:$B,2,0)</f>
        <v>25057.35</v>
      </c>
      <c r="D363" s="13">
        <f t="shared" si="5"/>
        <v>-6.0737433511642933E-3</v>
      </c>
      <c r="E363" s="13">
        <f t="shared" si="5"/>
        <v>-3.4400322558512829E-3</v>
      </c>
      <c r="G363" s="4"/>
    </row>
    <row r="364" spans="1:7" x14ac:dyDescent="0.3">
      <c r="A364" s="25">
        <v>45579</v>
      </c>
      <c r="B364" s="13">
        <v>3101.1</v>
      </c>
      <c r="C364" s="13">
        <f>VLOOKUP(A:A,'Nifty 50 '!$A:$B,2,0)</f>
        <v>25127.95</v>
      </c>
      <c r="D364" s="13">
        <f t="shared" si="5"/>
        <v>1.1602050996881959E-3</v>
      </c>
      <c r="E364" s="13">
        <f t="shared" si="5"/>
        <v>-2.8135747549046168E-3</v>
      </c>
      <c r="G364" s="4"/>
    </row>
    <row r="365" spans="1:7" x14ac:dyDescent="0.3">
      <c r="A365" s="25">
        <v>45576</v>
      </c>
      <c r="B365" s="13">
        <v>3137.2</v>
      </c>
      <c r="C365" s="13">
        <f>VLOOKUP(A:A,'Nifty 50 '!$A:$B,2,0)</f>
        <v>24964.25</v>
      </c>
      <c r="D365" s="13">
        <f t="shared" si="5"/>
        <v>-1.1573795095962626E-2</v>
      </c>
      <c r="E365" s="13">
        <f t="shared" si="5"/>
        <v>6.5359709797854493E-3</v>
      </c>
      <c r="G365" s="4"/>
    </row>
    <row r="366" spans="1:7" x14ac:dyDescent="0.3">
      <c r="A366" s="25">
        <v>45575</v>
      </c>
      <c r="B366" s="13">
        <v>3174.2</v>
      </c>
      <c r="C366" s="13">
        <f>VLOOKUP(A:A,'Nifty 50 '!$A:$B,2,0)</f>
        <v>24998.45</v>
      </c>
      <c r="D366" s="13">
        <f t="shared" si="5"/>
        <v>-1.1724949734946767E-2</v>
      </c>
      <c r="E366" s="13">
        <f t="shared" si="5"/>
        <v>-1.3690215037028451E-3</v>
      </c>
      <c r="G366" s="4"/>
    </row>
    <row r="367" spans="1:7" x14ac:dyDescent="0.3">
      <c r="A367" s="25">
        <v>45574</v>
      </c>
      <c r="B367" s="13">
        <v>3153.75</v>
      </c>
      <c r="C367" s="13">
        <f>VLOOKUP(A:A,'Nifty 50 '!$A:$B,2,0)</f>
        <v>24981.95</v>
      </c>
      <c r="D367" s="13">
        <f t="shared" si="5"/>
        <v>6.4634111181905334E-3</v>
      </c>
      <c r="E367" s="13">
        <f t="shared" si="5"/>
        <v>6.6025884544412166E-4</v>
      </c>
      <c r="G367" s="4"/>
    </row>
    <row r="368" spans="1:7" x14ac:dyDescent="0.3">
      <c r="A368" s="25">
        <v>45573</v>
      </c>
      <c r="B368" s="13">
        <v>3160.7</v>
      </c>
      <c r="C368" s="13">
        <f>VLOOKUP(A:A,'Nifty 50 '!$A:$B,2,0)</f>
        <v>25013.15</v>
      </c>
      <c r="D368" s="13">
        <f t="shared" si="5"/>
        <v>-2.2013010813238501E-3</v>
      </c>
      <c r="E368" s="13">
        <f t="shared" si="5"/>
        <v>-1.2481224780150524E-3</v>
      </c>
      <c r="G368" s="4"/>
    </row>
    <row r="369" spans="1:7" x14ac:dyDescent="0.3">
      <c r="A369" s="25">
        <v>45572</v>
      </c>
      <c r="B369" s="13">
        <v>3018</v>
      </c>
      <c r="C369" s="13">
        <f>VLOOKUP(A:A,'Nifty 50 '!$A:$B,2,0)</f>
        <v>24795.75</v>
      </c>
      <c r="D369" s="13">
        <f t="shared" si="5"/>
        <v>4.6199161708797287E-2</v>
      </c>
      <c r="E369" s="13">
        <f t="shared" si="5"/>
        <v>8.7294190611797214E-3</v>
      </c>
      <c r="G369" s="4"/>
    </row>
    <row r="370" spans="1:7" x14ac:dyDescent="0.3">
      <c r="A370" s="25">
        <v>45569</v>
      </c>
      <c r="B370" s="13">
        <v>3110.65</v>
      </c>
      <c r="C370" s="13">
        <f>VLOOKUP(A:A,'Nifty 50 '!$A:$B,2,0)</f>
        <v>25014.6</v>
      </c>
      <c r="D370" s="13">
        <f t="shared" si="5"/>
        <v>-3.0237347222790447E-2</v>
      </c>
      <c r="E370" s="13">
        <f t="shared" si="5"/>
        <v>-8.7873868890513806E-3</v>
      </c>
      <c r="G370" s="4"/>
    </row>
    <row r="371" spans="1:7" x14ac:dyDescent="0.3">
      <c r="A371" s="25">
        <v>45568</v>
      </c>
      <c r="B371" s="13">
        <v>3116</v>
      </c>
      <c r="C371" s="13">
        <f>VLOOKUP(A:A,'Nifty 50 '!$A:$B,2,0)</f>
        <v>25250.1</v>
      </c>
      <c r="D371" s="13">
        <f t="shared" si="5"/>
        <v>-1.7184204400541904E-3</v>
      </c>
      <c r="E371" s="13">
        <f t="shared" si="5"/>
        <v>-9.3704617030021236E-3</v>
      </c>
      <c r="G371" s="4"/>
    </row>
    <row r="372" spans="1:7" x14ac:dyDescent="0.3">
      <c r="A372" s="25">
        <v>45566</v>
      </c>
      <c r="B372" s="13">
        <v>3186.1</v>
      </c>
      <c r="C372" s="13">
        <f>VLOOKUP(A:A,'Nifty 50 '!$A:$B,2,0)</f>
        <v>25796.9</v>
      </c>
      <c r="D372" s="13">
        <f t="shared" si="5"/>
        <v>-2.224747030630626E-2</v>
      </c>
      <c r="E372" s="13">
        <f t="shared" si="5"/>
        <v>-2.1424213560051142E-2</v>
      </c>
      <c r="G372" s="4"/>
    </row>
    <row r="373" spans="1:7" x14ac:dyDescent="0.3">
      <c r="A373" s="25">
        <v>45565</v>
      </c>
      <c r="B373" s="13">
        <v>3135.85</v>
      </c>
      <c r="C373" s="13">
        <f>VLOOKUP(A:A,'Nifty 50 '!$A:$B,2,0)</f>
        <v>25810.85</v>
      </c>
      <c r="D373" s="13">
        <f t="shared" si="5"/>
        <v>1.5897328603268823E-2</v>
      </c>
      <c r="E373" s="13">
        <f t="shared" si="5"/>
        <v>-5.4061649034323775E-4</v>
      </c>
      <c r="G373" s="4"/>
    </row>
    <row r="374" spans="1:7" x14ac:dyDescent="0.3">
      <c r="A374" s="25">
        <v>45562</v>
      </c>
      <c r="B374" s="13">
        <v>3130.3</v>
      </c>
      <c r="C374" s="13">
        <f>VLOOKUP(A:A,'Nifty 50 '!$A:$B,2,0)</f>
        <v>26178.95</v>
      </c>
      <c r="D374" s="13">
        <f t="shared" si="5"/>
        <v>1.7714231071063267E-3</v>
      </c>
      <c r="E374" s="13">
        <f t="shared" si="5"/>
        <v>-1.4160706565616464E-2</v>
      </c>
      <c r="G374" s="4"/>
    </row>
    <row r="375" spans="1:7" x14ac:dyDescent="0.3">
      <c r="A375" s="25">
        <v>45561</v>
      </c>
      <c r="B375" s="13">
        <v>3122.65</v>
      </c>
      <c r="C375" s="13">
        <f>VLOOKUP(A:A,'Nifty 50 '!$A:$B,2,0)</f>
        <v>26216.05</v>
      </c>
      <c r="D375" s="13">
        <f t="shared" si="5"/>
        <v>2.44684630990126E-3</v>
      </c>
      <c r="E375" s="13">
        <f t="shared" si="5"/>
        <v>-1.4161659013423675E-3</v>
      </c>
      <c r="G375" s="4"/>
    </row>
    <row r="376" spans="1:7" x14ac:dyDescent="0.3">
      <c r="A376" s="25">
        <v>45560</v>
      </c>
      <c r="B376" s="13">
        <v>3105.1</v>
      </c>
      <c r="C376" s="13">
        <f>VLOOKUP(A:A,'Nifty 50 '!$A:$B,2,0)</f>
        <v>26004.15</v>
      </c>
      <c r="D376" s="13">
        <f t="shared" si="5"/>
        <v>5.6360793085330867E-3</v>
      </c>
      <c r="E376" s="13">
        <f t="shared" si="5"/>
        <v>8.1156779580020509E-3</v>
      </c>
      <c r="G376" s="4"/>
    </row>
    <row r="377" spans="1:7" x14ac:dyDescent="0.3">
      <c r="A377" s="25">
        <v>45559</v>
      </c>
      <c r="B377" s="13">
        <v>3093.9</v>
      </c>
      <c r="C377" s="13">
        <f>VLOOKUP(A:A,'Nifty 50 '!$A:$B,2,0)</f>
        <v>25940.400000000001</v>
      </c>
      <c r="D377" s="13">
        <f t="shared" si="5"/>
        <v>3.6134899780027423E-3</v>
      </c>
      <c r="E377" s="13">
        <f t="shared" si="5"/>
        <v>2.4545416990469533E-3</v>
      </c>
      <c r="G377" s="4"/>
    </row>
    <row r="378" spans="1:7" x14ac:dyDescent="0.3">
      <c r="A378" s="25">
        <v>45558</v>
      </c>
      <c r="B378" s="13">
        <v>3043.95</v>
      </c>
      <c r="C378" s="13">
        <f>VLOOKUP(A:A,'Nifty 50 '!$A:$B,2,0)</f>
        <v>25939.05</v>
      </c>
      <c r="D378" s="13">
        <f t="shared" si="5"/>
        <v>1.627641689904568E-2</v>
      </c>
      <c r="E378" s="13">
        <f t="shared" si="5"/>
        <v>5.2043728308821627E-5</v>
      </c>
      <c r="G378" s="4"/>
    </row>
    <row r="379" spans="1:7" x14ac:dyDescent="0.3">
      <c r="A379" s="25">
        <v>45555</v>
      </c>
      <c r="B379" s="13">
        <v>3008.5</v>
      </c>
      <c r="C379" s="13">
        <f>VLOOKUP(A:A,'Nifty 50 '!$A:$B,2,0)</f>
        <v>25790.95</v>
      </c>
      <c r="D379" s="13">
        <f t="shared" si="5"/>
        <v>1.1714398430681009E-2</v>
      </c>
      <c r="E379" s="13">
        <f t="shared" si="5"/>
        <v>5.7259000437972149E-3</v>
      </c>
      <c r="G379" s="4"/>
    </row>
    <row r="380" spans="1:7" x14ac:dyDescent="0.3">
      <c r="A380" s="25">
        <v>45554</v>
      </c>
      <c r="B380" s="13">
        <v>2943.15</v>
      </c>
      <c r="C380" s="13">
        <f>VLOOKUP(A:A,'Nifty 50 '!$A:$B,2,0)</f>
        <v>25415.8</v>
      </c>
      <c r="D380" s="13">
        <f t="shared" si="5"/>
        <v>2.1961179326186089E-2</v>
      </c>
      <c r="E380" s="13">
        <f t="shared" si="5"/>
        <v>1.4652627320371103E-2</v>
      </c>
      <c r="G380" s="4"/>
    </row>
    <row r="381" spans="1:7" x14ac:dyDescent="0.3">
      <c r="A381" s="25">
        <v>45553</v>
      </c>
      <c r="B381" s="13">
        <v>2956.3</v>
      </c>
      <c r="C381" s="13">
        <f>VLOOKUP(A:A,'Nifty 50 '!$A:$B,2,0)</f>
        <v>25377.55</v>
      </c>
      <c r="D381" s="13">
        <f t="shared" si="5"/>
        <v>-4.4580500822331256E-3</v>
      </c>
      <c r="E381" s="13">
        <f t="shared" si="5"/>
        <v>1.5061029536485916E-3</v>
      </c>
      <c r="G381" s="4"/>
    </row>
    <row r="382" spans="1:7" x14ac:dyDescent="0.3">
      <c r="A382" s="25">
        <v>45552</v>
      </c>
      <c r="B382" s="13">
        <v>2975.2</v>
      </c>
      <c r="C382" s="13">
        <f>VLOOKUP(A:A,'Nifty 50 '!$A:$B,2,0)</f>
        <v>25418.55</v>
      </c>
      <c r="D382" s="13">
        <f t="shared" si="5"/>
        <v>-6.3727771944067273E-3</v>
      </c>
      <c r="E382" s="13">
        <f t="shared" si="5"/>
        <v>-1.6142975111744227E-3</v>
      </c>
      <c r="G382" s="4"/>
    </row>
    <row r="383" spans="1:7" x14ac:dyDescent="0.3">
      <c r="A383" s="25">
        <v>45551</v>
      </c>
      <c r="B383" s="13">
        <v>2984.9</v>
      </c>
      <c r="C383" s="13">
        <f>VLOOKUP(A:A,'Nifty 50 '!$A:$B,2,0)</f>
        <v>25383.75</v>
      </c>
      <c r="D383" s="13">
        <f t="shared" si="5"/>
        <v>-3.2549818171557659E-3</v>
      </c>
      <c r="E383" s="13">
        <f t="shared" si="5"/>
        <v>1.3700169261289907E-3</v>
      </c>
      <c r="G383" s="4"/>
    </row>
    <row r="384" spans="1:7" x14ac:dyDescent="0.3">
      <c r="A384" s="25">
        <v>45548</v>
      </c>
      <c r="B384" s="13">
        <v>2968.35</v>
      </c>
      <c r="C384" s="13">
        <f>VLOOKUP(A:A,'Nifty 50 '!$A:$B,2,0)</f>
        <v>25356.5</v>
      </c>
      <c r="D384" s="13">
        <f t="shared" si="5"/>
        <v>5.5600025649937285E-3</v>
      </c>
      <c r="E384" s="13">
        <f t="shared" si="5"/>
        <v>1.0740980826790941E-3</v>
      </c>
      <c r="G384" s="4"/>
    </row>
    <row r="385" spans="1:7" x14ac:dyDescent="0.3">
      <c r="A385" s="25">
        <v>45547</v>
      </c>
      <c r="B385" s="13">
        <v>2991</v>
      </c>
      <c r="C385" s="13">
        <f>VLOOKUP(A:A,'Nifty 50 '!$A:$B,2,0)</f>
        <v>25388.9</v>
      </c>
      <c r="D385" s="13">
        <f t="shared" si="5"/>
        <v>-7.6015367669257624E-3</v>
      </c>
      <c r="E385" s="13">
        <f t="shared" si="5"/>
        <v>-1.2769632085949123E-3</v>
      </c>
      <c r="G385" s="4"/>
    </row>
    <row r="386" spans="1:7" x14ac:dyDescent="0.3">
      <c r="A386" s="25">
        <v>45546</v>
      </c>
      <c r="B386" s="13">
        <v>2937.85</v>
      </c>
      <c r="C386" s="13">
        <f>VLOOKUP(A:A,'Nifty 50 '!$A:$B,2,0)</f>
        <v>24918.45</v>
      </c>
      <c r="D386" s="13">
        <f t="shared" si="5"/>
        <v>1.7929758339034187E-2</v>
      </c>
      <c r="E386" s="13">
        <f t="shared" si="5"/>
        <v>1.8703577686811725E-2</v>
      </c>
      <c r="G386" s="4"/>
    </row>
    <row r="387" spans="1:7" x14ac:dyDescent="0.3">
      <c r="A387" s="25">
        <v>45545</v>
      </c>
      <c r="B387" s="13">
        <v>2986.4</v>
      </c>
      <c r="C387" s="13">
        <f>VLOOKUP(A:A,'Nifty 50 '!$A:$B,2,0)</f>
        <v>25041.1</v>
      </c>
      <c r="D387" s="13">
        <f t="shared" si="5"/>
        <v>-1.6390627309460278E-2</v>
      </c>
      <c r="E387" s="13">
        <f t="shared" si="5"/>
        <v>-4.9099820315822162E-3</v>
      </c>
      <c r="G387" s="4"/>
    </row>
    <row r="388" spans="1:7" x14ac:dyDescent="0.3">
      <c r="A388" s="25">
        <v>45544</v>
      </c>
      <c r="B388" s="13">
        <v>2964.15</v>
      </c>
      <c r="C388" s="13">
        <f>VLOOKUP(A:A,'Nifty 50 '!$A:$B,2,0)</f>
        <v>24936.400000000001</v>
      </c>
      <c r="D388" s="13">
        <f t="shared" ref="D388:E451" si="6">LN(B387/B388)</f>
        <v>7.4783351774527296E-3</v>
      </c>
      <c r="E388" s="13">
        <f t="shared" si="6"/>
        <v>4.1898915779699352E-3</v>
      </c>
      <c r="G388" s="4"/>
    </row>
    <row r="389" spans="1:7" x14ac:dyDescent="0.3">
      <c r="A389" s="25">
        <v>45541</v>
      </c>
      <c r="B389" s="13">
        <v>2975.45</v>
      </c>
      <c r="C389" s="13">
        <f>VLOOKUP(A:A,'Nifty 50 '!$A:$B,2,0)</f>
        <v>24852.15</v>
      </c>
      <c r="D389" s="13">
        <f t="shared" si="6"/>
        <v>-3.8049746222938254E-3</v>
      </c>
      <c r="E389" s="13">
        <f t="shared" si="6"/>
        <v>3.3843154867430215E-3</v>
      </c>
      <c r="G389" s="4"/>
    </row>
    <row r="390" spans="1:7" x14ac:dyDescent="0.3">
      <c r="A390" s="25">
        <v>45540</v>
      </c>
      <c r="B390" s="13">
        <v>3015.35</v>
      </c>
      <c r="C390" s="13">
        <f>VLOOKUP(A:A,'Nifty 50 '!$A:$B,2,0)</f>
        <v>25145.1</v>
      </c>
      <c r="D390" s="13">
        <f t="shared" si="6"/>
        <v>-1.3320621614074202E-2</v>
      </c>
      <c r="E390" s="13">
        <f t="shared" si="6"/>
        <v>-1.1718778635040884E-2</v>
      </c>
      <c r="G390" s="4"/>
    </row>
    <row r="391" spans="1:7" x14ac:dyDescent="0.3">
      <c r="A391" s="25">
        <v>45539</v>
      </c>
      <c r="B391" s="13">
        <v>3012.35</v>
      </c>
      <c r="C391" s="13">
        <f>VLOOKUP(A:A,'Nifty 50 '!$A:$B,2,0)</f>
        <v>25198.7</v>
      </c>
      <c r="D391" s="13">
        <f t="shared" si="6"/>
        <v>9.954046311885375E-4</v>
      </c>
      <c r="E391" s="13">
        <f t="shared" si="6"/>
        <v>-2.1293593353156458E-3</v>
      </c>
      <c r="G391" s="4"/>
    </row>
    <row r="392" spans="1:7" x14ac:dyDescent="0.3">
      <c r="A392" s="25">
        <v>45538</v>
      </c>
      <c r="B392" s="13">
        <v>3036.1</v>
      </c>
      <c r="C392" s="13">
        <f>VLOOKUP(A:A,'Nifty 50 '!$A:$B,2,0)</f>
        <v>25279.85</v>
      </c>
      <c r="D392" s="13">
        <f t="shared" si="6"/>
        <v>-7.8532920213895303E-3</v>
      </c>
      <c r="E392" s="13">
        <f t="shared" si="6"/>
        <v>-3.2152298316295127E-3</v>
      </c>
      <c r="G392" s="4"/>
    </row>
    <row r="393" spans="1:7" x14ac:dyDescent="0.3">
      <c r="A393" s="25">
        <v>45537</v>
      </c>
      <c r="B393" s="13">
        <v>3042.15</v>
      </c>
      <c r="C393" s="13">
        <f>VLOOKUP(A:A,'Nifty 50 '!$A:$B,2,0)</f>
        <v>25278.7</v>
      </c>
      <c r="D393" s="13">
        <f t="shared" si="6"/>
        <v>-1.9907052187605476E-3</v>
      </c>
      <c r="E393" s="13">
        <f t="shared" si="6"/>
        <v>4.5491810987265924E-5</v>
      </c>
      <c r="G393" s="4"/>
    </row>
    <row r="394" spans="1:7" x14ac:dyDescent="0.3">
      <c r="A394" s="25">
        <v>45534</v>
      </c>
      <c r="B394" s="13">
        <v>3019.35</v>
      </c>
      <c r="C394" s="13">
        <f>VLOOKUP(A:A,'Nifty 50 '!$A:$B,2,0)</f>
        <v>25235.9</v>
      </c>
      <c r="D394" s="13">
        <f t="shared" si="6"/>
        <v>7.5229258531003436E-3</v>
      </c>
      <c r="E394" s="13">
        <f t="shared" si="6"/>
        <v>1.6945599981708784E-3</v>
      </c>
      <c r="G394" s="4"/>
    </row>
    <row r="395" spans="1:7" x14ac:dyDescent="0.3">
      <c r="A395" s="25">
        <v>45533</v>
      </c>
      <c r="B395" s="13">
        <v>3020.15</v>
      </c>
      <c r="C395" s="13">
        <f>VLOOKUP(A:A,'Nifty 50 '!$A:$B,2,0)</f>
        <v>25151.95</v>
      </c>
      <c r="D395" s="13">
        <f t="shared" si="6"/>
        <v>-2.6492259447935876E-4</v>
      </c>
      <c r="E395" s="13">
        <f t="shared" si="6"/>
        <v>3.332155576256976E-3</v>
      </c>
      <c r="G395" s="4"/>
    </row>
    <row r="396" spans="1:7" x14ac:dyDescent="0.3">
      <c r="A396" s="25">
        <v>45532</v>
      </c>
      <c r="B396" s="13">
        <v>3028</v>
      </c>
      <c r="C396" s="13">
        <f>VLOOKUP(A:A,'Nifty 50 '!$A:$B,2,0)</f>
        <v>25052.35</v>
      </c>
      <c r="D396" s="13">
        <f t="shared" si="6"/>
        <v>-2.5958365477095732E-3</v>
      </c>
      <c r="E396" s="13">
        <f t="shared" si="6"/>
        <v>3.9677928253165316E-3</v>
      </c>
      <c r="G396" s="4"/>
    </row>
    <row r="397" spans="1:7" x14ac:dyDescent="0.3">
      <c r="A397" s="25">
        <v>45531</v>
      </c>
      <c r="B397" s="13">
        <v>3067.1</v>
      </c>
      <c r="C397" s="13">
        <f>VLOOKUP(A:A,'Nifty 50 '!$A:$B,2,0)</f>
        <v>25017.75</v>
      </c>
      <c r="D397" s="13">
        <f t="shared" si="6"/>
        <v>-1.2830154176989706E-2</v>
      </c>
      <c r="E397" s="13">
        <f t="shared" si="6"/>
        <v>1.3820625685767348E-3</v>
      </c>
      <c r="G397" s="4"/>
    </row>
    <row r="398" spans="1:7" x14ac:dyDescent="0.3">
      <c r="A398" s="25">
        <v>45530</v>
      </c>
      <c r="B398" s="13">
        <v>3069</v>
      </c>
      <c r="C398" s="13">
        <f>VLOOKUP(A:A,'Nifty 50 '!$A:$B,2,0)</f>
        <v>25010.6</v>
      </c>
      <c r="D398" s="13">
        <f t="shared" si="6"/>
        <v>-6.1928588540711472E-4</v>
      </c>
      <c r="E398" s="13">
        <f t="shared" si="6"/>
        <v>2.8583793184004246E-4</v>
      </c>
      <c r="G398" s="4"/>
    </row>
    <row r="399" spans="1:7" x14ac:dyDescent="0.3">
      <c r="A399" s="25">
        <v>45527</v>
      </c>
      <c r="B399" s="13">
        <v>3076.35</v>
      </c>
      <c r="C399" s="13">
        <f>VLOOKUP(A:A,'Nifty 50 '!$A:$B,2,0)</f>
        <v>24823.15</v>
      </c>
      <c r="D399" s="13">
        <f t="shared" si="6"/>
        <v>-2.3920536681152492E-3</v>
      </c>
      <c r="E399" s="13">
        <f t="shared" si="6"/>
        <v>7.5230495028018388E-3</v>
      </c>
      <c r="G399" s="4"/>
    </row>
    <row r="400" spans="1:7" x14ac:dyDescent="0.3">
      <c r="A400" s="25">
        <v>45526</v>
      </c>
      <c r="B400" s="13">
        <v>3099.05</v>
      </c>
      <c r="C400" s="13">
        <f>VLOOKUP(A:A,'Nifty 50 '!$A:$B,2,0)</f>
        <v>24811.5</v>
      </c>
      <c r="D400" s="13">
        <f t="shared" si="6"/>
        <v>-7.3517836065920619E-3</v>
      </c>
      <c r="E400" s="13">
        <f t="shared" si="6"/>
        <v>4.6943013455067465E-4</v>
      </c>
      <c r="G400" s="4"/>
    </row>
    <row r="401" spans="1:7" x14ac:dyDescent="0.3">
      <c r="A401" s="25">
        <v>45525</v>
      </c>
      <c r="B401" s="13">
        <v>3115.7</v>
      </c>
      <c r="C401" s="13">
        <f>VLOOKUP(A:A,'Nifty 50 '!$A:$B,2,0)</f>
        <v>24770.2</v>
      </c>
      <c r="D401" s="13">
        <f t="shared" si="6"/>
        <v>-5.358233182678411E-3</v>
      </c>
      <c r="E401" s="13">
        <f t="shared" si="6"/>
        <v>1.6659376161698191E-3</v>
      </c>
      <c r="G401" s="4"/>
    </row>
    <row r="402" spans="1:7" x14ac:dyDescent="0.3">
      <c r="A402" s="25">
        <v>45524</v>
      </c>
      <c r="B402" s="13">
        <v>3070.65</v>
      </c>
      <c r="C402" s="13">
        <f>VLOOKUP(A:A,'Nifty 50 '!$A:$B,2,0)</f>
        <v>24698.85</v>
      </c>
      <c r="D402" s="13">
        <f t="shared" si="6"/>
        <v>1.4564580522381864E-2</v>
      </c>
      <c r="E402" s="13">
        <f t="shared" si="6"/>
        <v>2.8846339064908873E-3</v>
      </c>
      <c r="G402" s="4"/>
    </row>
    <row r="403" spans="1:7" x14ac:dyDescent="0.3">
      <c r="A403" s="25">
        <v>45523</v>
      </c>
      <c r="B403" s="13">
        <v>3102.55</v>
      </c>
      <c r="C403" s="13">
        <f>VLOOKUP(A:A,'Nifty 50 '!$A:$B,2,0)</f>
        <v>24572.65</v>
      </c>
      <c r="D403" s="13">
        <f t="shared" si="6"/>
        <v>-1.0335088429615728E-2</v>
      </c>
      <c r="E403" s="13">
        <f t="shared" si="6"/>
        <v>5.1226480205889434E-3</v>
      </c>
      <c r="G403" s="4"/>
    </row>
    <row r="404" spans="1:7" x14ac:dyDescent="0.3">
      <c r="A404" s="25">
        <v>45520</v>
      </c>
      <c r="B404" s="13">
        <v>3108.8</v>
      </c>
      <c r="C404" s="13">
        <f>VLOOKUP(A:A,'Nifty 50 '!$A:$B,2,0)</f>
        <v>24541.15</v>
      </c>
      <c r="D404" s="13">
        <f t="shared" si="6"/>
        <v>-2.0124456388200319E-3</v>
      </c>
      <c r="E404" s="13">
        <f t="shared" si="6"/>
        <v>1.2827353745464452E-3</v>
      </c>
      <c r="G404" s="4"/>
    </row>
    <row r="405" spans="1:7" x14ac:dyDescent="0.3">
      <c r="A405" s="25">
        <v>45518</v>
      </c>
      <c r="B405" s="13">
        <v>3040.1</v>
      </c>
      <c r="C405" s="13">
        <f>VLOOKUP(A:A,'Nifty 50 '!$A:$B,2,0)</f>
        <v>24143.75</v>
      </c>
      <c r="D405" s="13">
        <f t="shared" si="6"/>
        <v>2.2346390027086285E-2</v>
      </c>
      <c r="E405" s="13">
        <f t="shared" si="6"/>
        <v>1.6325753017997963E-2</v>
      </c>
      <c r="G405" s="4"/>
    </row>
    <row r="406" spans="1:7" x14ac:dyDescent="0.3">
      <c r="A406" s="25">
        <v>45517</v>
      </c>
      <c r="B406" s="13">
        <v>3092.2</v>
      </c>
      <c r="C406" s="13">
        <f>VLOOKUP(A:A,'Nifty 50 '!$A:$B,2,0)</f>
        <v>24139</v>
      </c>
      <c r="D406" s="13">
        <f t="shared" si="6"/>
        <v>-1.6992402072404652E-2</v>
      </c>
      <c r="E406" s="13">
        <f t="shared" si="6"/>
        <v>1.967576418212346E-4</v>
      </c>
      <c r="G406" s="4"/>
    </row>
    <row r="407" spans="1:7" x14ac:dyDescent="0.3">
      <c r="A407" s="25">
        <v>45516</v>
      </c>
      <c r="B407" s="13">
        <v>3151.75</v>
      </c>
      <c r="C407" s="13">
        <f>VLOOKUP(A:A,'Nifty 50 '!$A:$B,2,0)</f>
        <v>24347</v>
      </c>
      <c r="D407" s="13">
        <f t="shared" si="6"/>
        <v>-1.9075042442884587E-2</v>
      </c>
      <c r="E407" s="13">
        <f t="shared" si="6"/>
        <v>-8.5798488623965701E-3</v>
      </c>
      <c r="G407" s="4"/>
    </row>
    <row r="408" spans="1:7" x14ac:dyDescent="0.3">
      <c r="A408" s="25">
        <v>45513</v>
      </c>
      <c r="B408" s="13">
        <v>3187.55</v>
      </c>
      <c r="C408" s="13">
        <f>VLOOKUP(A:A,'Nifty 50 '!$A:$B,2,0)</f>
        <v>24367.5</v>
      </c>
      <c r="D408" s="13">
        <f t="shared" si="6"/>
        <v>-1.1294742506784404E-2</v>
      </c>
      <c r="E408" s="13">
        <f t="shared" si="6"/>
        <v>-8.4163857619835045E-4</v>
      </c>
      <c r="G408" s="4"/>
    </row>
    <row r="409" spans="1:7" x14ac:dyDescent="0.3">
      <c r="A409" s="25">
        <v>45512</v>
      </c>
      <c r="B409" s="13">
        <v>3167.55</v>
      </c>
      <c r="C409" s="13">
        <f>VLOOKUP(A:A,'Nifty 50 '!$A:$B,2,0)</f>
        <v>24117</v>
      </c>
      <c r="D409" s="13">
        <f t="shared" si="6"/>
        <v>6.2941782278030916E-3</v>
      </c>
      <c r="E409" s="13">
        <f t="shared" si="6"/>
        <v>1.0333291215294636E-2</v>
      </c>
      <c r="G409" s="4"/>
    </row>
    <row r="410" spans="1:7" x14ac:dyDescent="0.3">
      <c r="A410" s="25">
        <v>45511</v>
      </c>
      <c r="B410" s="13">
        <v>3185.95</v>
      </c>
      <c r="C410" s="13">
        <f>VLOOKUP(A:A,'Nifty 50 '!$A:$B,2,0)</f>
        <v>24297.5</v>
      </c>
      <c r="D410" s="13">
        <f t="shared" si="6"/>
        <v>-5.792099296725456E-3</v>
      </c>
      <c r="E410" s="13">
        <f t="shared" si="6"/>
        <v>-7.4564783815551433E-3</v>
      </c>
      <c r="G410" s="4"/>
    </row>
    <row r="411" spans="1:7" x14ac:dyDescent="0.3">
      <c r="A411" s="25">
        <v>45510</v>
      </c>
      <c r="B411" s="13">
        <v>3072.7</v>
      </c>
      <c r="C411" s="13">
        <f>VLOOKUP(A:A,'Nifty 50 '!$A:$B,2,0)</f>
        <v>23992.55</v>
      </c>
      <c r="D411" s="13">
        <f t="shared" si="6"/>
        <v>3.6193863793380583E-2</v>
      </c>
      <c r="E411" s="13">
        <f t="shared" si="6"/>
        <v>1.2630098903435905E-2</v>
      </c>
      <c r="G411" s="4"/>
    </row>
    <row r="412" spans="1:7" x14ac:dyDescent="0.3">
      <c r="A412" s="25">
        <v>45509</v>
      </c>
      <c r="B412" s="13">
        <v>3038.2</v>
      </c>
      <c r="C412" s="13">
        <f>VLOOKUP(A:A,'Nifty 50 '!$A:$B,2,0)</f>
        <v>24055.599999999999</v>
      </c>
      <c r="D412" s="13">
        <f t="shared" si="6"/>
        <v>1.1291419120142634E-2</v>
      </c>
      <c r="E412" s="13">
        <f t="shared" si="6"/>
        <v>-2.6244521876233645E-3</v>
      </c>
      <c r="G412" s="4"/>
    </row>
    <row r="413" spans="1:7" x14ac:dyDescent="0.3">
      <c r="A413" s="25">
        <v>45506</v>
      </c>
      <c r="B413" s="13">
        <v>3160.9</v>
      </c>
      <c r="C413" s="13">
        <f>VLOOKUP(A:A,'Nifty 50 '!$A:$B,2,0)</f>
        <v>24717.7</v>
      </c>
      <c r="D413" s="13">
        <f t="shared" si="6"/>
        <v>-3.9591562383273063E-2</v>
      </c>
      <c r="E413" s="13">
        <f t="shared" si="6"/>
        <v>-2.7151768509934573E-2</v>
      </c>
      <c r="G413" s="4"/>
    </row>
    <row r="414" spans="1:7" x14ac:dyDescent="0.3">
      <c r="A414" s="25">
        <v>45505</v>
      </c>
      <c r="B414" s="13">
        <v>3217.25</v>
      </c>
      <c r="C414" s="13">
        <f>VLOOKUP(A:A,'Nifty 50 '!$A:$B,2,0)</f>
        <v>25010.9</v>
      </c>
      <c r="D414" s="13">
        <f t="shared" si="6"/>
        <v>-1.7670160216938888E-2</v>
      </c>
      <c r="E414" s="13">
        <f t="shared" si="6"/>
        <v>-1.179214365820847E-2</v>
      </c>
      <c r="G414" s="4"/>
    </row>
    <row r="415" spans="1:7" x14ac:dyDescent="0.3">
      <c r="A415" s="25">
        <v>45504</v>
      </c>
      <c r="B415" s="13">
        <v>3169.4</v>
      </c>
      <c r="C415" s="13">
        <f>VLOOKUP(A:A,'Nifty 50 '!$A:$B,2,0)</f>
        <v>24951.15</v>
      </c>
      <c r="D415" s="13">
        <f t="shared" si="6"/>
        <v>1.498466186506631E-2</v>
      </c>
      <c r="E415" s="13">
        <f t="shared" si="6"/>
        <v>2.3918165281347566E-3</v>
      </c>
      <c r="G415" s="4"/>
    </row>
    <row r="416" spans="1:7" x14ac:dyDescent="0.3">
      <c r="A416" s="25">
        <v>45503</v>
      </c>
      <c r="B416" s="13">
        <v>3128.75</v>
      </c>
      <c r="C416" s="13">
        <f>VLOOKUP(A:A,'Nifty 50 '!$A:$B,2,0)</f>
        <v>24857.3</v>
      </c>
      <c r="D416" s="13">
        <f t="shared" si="6"/>
        <v>1.2908731762723979E-2</v>
      </c>
      <c r="E416" s="13">
        <f t="shared" si="6"/>
        <v>3.7684413413710642E-3</v>
      </c>
      <c r="G416" s="4"/>
    </row>
    <row r="417" spans="1:7" x14ac:dyDescent="0.3">
      <c r="A417" s="25">
        <v>45502</v>
      </c>
      <c r="B417" s="13">
        <v>3089.35</v>
      </c>
      <c r="C417" s="13">
        <f>VLOOKUP(A:A,'Nifty 50 '!$A:$B,2,0)</f>
        <v>24836.1</v>
      </c>
      <c r="D417" s="13">
        <f t="shared" si="6"/>
        <v>1.267285096917168E-2</v>
      </c>
      <c r="E417" s="13">
        <f t="shared" si="6"/>
        <v>8.5323207050211575E-4</v>
      </c>
      <c r="G417" s="4"/>
    </row>
    <row r="418" spans="1:7" x14ac:dyDescent="0.3">
      <c r="A418" s="25">
        <v>45499</v>
      </c>
      <c r="B418" s="13">
        <v>3080.5</v>
      </c>
      <c r="C418" s="13">
        <f>VLOOKUP(A:A,'Nifty 50 '!$A:$B,2,0)</f>
        <v>24834.85</v>
      </c>
      <c r="D418" s="13">
        <f t="shared" si="6"/>
        <v>2.8687913221869077E-3</v>
      </c>
      <c r="E418" s="13">
        <f t="shared" si="6"/>
        <v>5.0331229834195685E-5</v>
      </c>
      <c r="G418" s="4"/>
    </row>
    <row r="419" spans="1:7" x14ac:dyDescent="0.3">
      <c r="A419" s="25">
        <v>45498</v>
      </c>
      <c r="B419" s="13">
        <v>2973.5</v>
      </c>
      <c r="C419" s="13">
        <f>VLOOKUP(A:A,'Nifty 50 '!$A:$B,2,0)</f>
        <v>24406.1</v>
      </c>
      <c r="D419" s="13">
        <f t="shared" si="6"/>
        <v>3.5352211307976923E-2</v>
      </c>
      <c r="E419" s="13">
        <f t="shared" si="6"/>
        <v>1.7414807623613839E-2</v>
      </c>
      <c r="G419" s="4"/>
    </row>
    <row r="420" spans="1:7" x14ac:dyDescent="0.3">
      <c r="A420" s="25">
        <v>45497</v>
      </c>
      <c r="B420" s="13">
        <v>2970.7</v>
      </c>
      <c r="C420" s="13">
        <f>VLOOKUP(A:A,'Nifty 50 '!$A:$B,2,0)</f>
        <v>24413.5</v>
      </c>
      <c r="D420" s="13">
        <f t="shared" si="6"/>
        <v>9.4209488479310216E-4</v>
      </c>
      <c r="E420" s="13">
        <f t="shared" si="6"/>
        <v>-3.0315693109630526E-4</v>
      </c>
      <c r="G420" s="4"/>
    </row>
    <row r="421" spans="1:7" x14ac:dyDescent="0.3">
      <c r="A421" s="25">
        <v>45496</v>
      </c>
      <c r="B421" s="13">
        <v>2995.35</v>
      </c>
      <c r="C421" s="13">
        <f>VLOOKUP(A:A,'Nifty 50 '!$A:$B,2,0)</f>
        <v>24479.05</v>
      </c>
      <c r="D421" s="13">
        <f t="shared" si="6"/>
        <v>-8.2634708956549809E-3</v>
      </c>
      <c r="E421" s="13">
        <f t="shared" si="6"/>
        <v>-2.6813917161045081E-3</v>
      </c>
      <c r="G421" s="4"/>
    </row>
    <row r="422" spans="1:7" x14ac:dyDescent="0.3">
      <c r="A422" s="25">
        <v>45495</v>
      </c>
      <c r="B422" s="13">
        <v>3000.85</v>
      </c>
      <c r="C422" s="13">
        <f>VLOOKUP(A:A,'Nifty 50 '!$A:$B,2,0)</f>
        <v>24509.25</v>
      </c>
      <c r="D422" s="13">
        <f t="shared" si="6"/>
        <v>-1.8344956947610462E-3</v>
      </c>
      <c r="E422" s="13">
        <f t="shared" si="6"/>
        <v>-1.2329476150728363E-3</v>
      </c>
      <c r="G422" s="4"/>
    </row>
    <row r="423" spans="1:7" x14ac:dyDescent="0.3">
      <c r="A423" s="25">
        <v>45492</v>
      </c>
      <c r="B423" s="13">
        <v>3005.7</v>
      </c>
      <c r="C423" s="13">
        <f>VLOOKUP(A:A,'Nifty 50 '!$A:$B,2,0)</f>
        <v>24530.9</v>
      </c>
      <c r="D423" s="13">
        <f t="shared" si="6"/>
        <v>-1.6149040810556322E-3</v>
      </c>
      <c r="E423" s="13">
        <f t="shared" si="6"/>
        <v>-8.8295004833916055E-4</v>
      </c>
      <c r="G423" s="4"/>
    </row>
    <row r="424" spans="1:7" x14ac:dyDescent="0.3">
      <c r="A424" s="25">
        <v>45491</v>
      </c>
      <c r="B424" s="13">
        <v>3092.2</v>
      </c>
      <c r="C424" s="13">
        <f>VLOOKUP(A:A,'Nifty 50 '!$A:$B,2,0)</f>
        <v>24800.85</v>
      </c>
      <c r="D424" s="13">
        <f t="shared" si="6"/>
        <v>-2.8372325735167247E-2</v>
      </c>
      <c r="E424" s="13">
        <f t="shared" si="6"/>
        <v>-1.0944379412161618E-2</v>
      </c>
      <c r="G424" s="4"/>
    </row>
    <row r="425" spans="1:7" x14ac:dyDescent="0.3">
      <c r="A425" s="25">
        <v>45489</v>
      </c>
      <c r="B425" s="13">
        <v>3109.3</v>
      </c>
      <c r="C425" s="13">
        <f>VLOOKUP(A:A,'Nifty 50 '!$A:$B,2,0)</f>
        <v>24613</v>
      </c>
      <c r="D425" s="13">
        <f t="shared" si="6"/>
        <v>-5.5148087845419474E-3</v>
      </c>
      <c r="E425" s="13">
        <f t="shared" si="6"/>
        <v>7.6031681375885599E-3</v>
      </c>
      <c r="G425" s="4"/>
    </row>
    <row r="426" spans="1:7" x14ac:dyDescent="0.3">
      <c r="A426" s="25">
        <v>45488</v>
      </c>
      <c r="B426" s="13">
        <v>3090.4</v>
      </c>
      <c r="C426" s="13">
        <f>VLOOKUP(A:A,'Nifty 50 '!$A:$B,2,0)</f>
        <v>24586.7</v>
      </c>
      <c r="D426" s="13">
        <f t="shared" si="6"/>
        <v>6.0970881009645792E-3</v>
      </c>
      <c r="E426" s="13">
        <f t="shared" si="6"/>
        <v>1.0691123118667994E-3</v>
      </c>
      <c r="G426" s="4"/>
    </row>
    <row r="427" spans="1:7" x14ac:dyDescent="0.3">
      <c r="A427" s="25">
        <v>45485</v>
      </c>
      <c r="B427" s="13">
        <v>3065.45</v>
      </c>
      <c r="C427" s="13">
        <f>VLOOKUP(A:A,'Nifty 50 '!$A:$B,2,0)</f>
        <v>24502.15</v>
      </c>
      <c r="D427" s="13">
        <f t="shared" si="6"/>
        <v>8.1061548352753428E-3</v>
      </c>
      <c r="E427" s="13">
        <f t="shared" si="6"/>
        <v>3.4447775252144188E-3</v>
      </c>
      <c r="G427" s="4"/>
    </row>
    <row r="428" spans="1:7" x14ac:dyDescent="0.3">
      <c r="A428" s="25">
        <v>45484</v>
      </c>
      <c r="B428" s="13">
        <v>3078.3</v>
      </c>
      <c r="C428" s="13">
        <f>VLOOKUP(A:A,'Nifty 50 '!$A:$B,2,0)</f>
        <v>24315.95</v>
      </c>
      <c r="D428" s="13">
        <f t="shared" si="6"/>
        <v>-4.183119019476874E-3</v>
      </c>
      <c r="E428" s="13">
        <f t="shared" si="6"/>
        <v>7.6283551773595644E-3</v>
      </c>
      <c r="G428" s="4"/>
    </row>
    <row r="429" spans="1:7" x14ac:dyDescent="0.3">
      <c r="A429" s="25">
        <v>45483</v>
      </c>
      <c r="B429" s="13">
        <v>3096</v>
      </c>
      <c r="C429" s="13">
        <f>VLOOKUP(A:A,'Nifty 50 '!$A:$B,2,0)</f>
        <v>24324.45</v>
      </c>
      <c r="D429" s="13">
        <f t="shared" si="6"/>
        <v>-5.7334591733445234E-3</v>
      </c>
      <c r="E429" s="13">
        <f t="shared" si="6"/>
        <v>-3.4950370829703764E-4</v>
      </c>
      <c r="G429" s="4"/>
    </row>
    <row r="430" spans="1:7" x14ac:dyDescent="0.3">
      <c r="A430" s="25">
        <v>45482</v>
      </c>
      <c r="B430" s="13">
        <v>3110.75</v>
      </c>
      <c r="C430" s="13">
        <f>VLOOKUP(A:A,'Nifty 50 '!$A:$B,2,0)</f>
        <v>24433.200000000001</v>
      </c>
      <c r="D430" s="13">
        <f t="shared" si="6"/>
        <v>-4.7528989461228469E-3</v>
      </c>
      <c r="E430" s="13">
        <f t="shared" si="6"/>
        <v>-4.4608458502798307E-3</v>
      </c>
      <c r="G430" s="4"/>
    </row>
    <row r="431" spans="1:7" x14ac:dyDescent="0.3">
      <c r="A431" s="25">
        <v>45481</v>
      </c>
      <c r="B431" s="13">
        <v>3113.6</v>
      </c>
      <c r="C431" s="13">
        <f>VLOOKUP(A:A,'Nifty 50 '!$A:$B,2,0)</f>
        <v>24320.55</v>
      </c>
      <c r="D431" s="13">
        <f t="shared" si="6"/>
        <v>-9.157583359453202E-4</v>
      </c>
      <c r="E431" s="13">
        <f t="shared" si="6"/>
        <v>4.621191209858602E-3</v>
      </c>
      <c r="G431" s="4"/>
    </row>
    <row r="432" spans="1:7" x14ac:dyDescent="0.3">
      <c r="A432" s="25">
        <v>45478</v>
      </c>
      <c r="B432" s="13">
        <v>3147.9</v>
      </c>
      <c r="C432" s="13">
        <f>VLOOKUP(A:A,'Nifty 50 '!$A:$B,2,0)</f>
        <v>24323.85</v>
      </c>
      <c r="D432" s="13">
        <f t="shared" si="6"/>
        <v>-1.095595084028915E-2</v>
      </c>
      <c r="E432" s="13">
        <f t="shared" si="6"/>
        <v>-1.3567851613180805E-4</v>
      </c>
      <c r="G432" s="4"/>
    </row>
    <row r="433" spans="1:7" x14ac:dyDescent="0.3">
      <c r="A433" s="25">
        <v>45477</v>
      </c>
      <c r="B433" s="13">
        <v>3144.25</v>
      </c>
      <c r="C433" s="13">
        <f>VLOOKUP(A:A,'Nifty 50 '!$A:$B,2,0)</f>
        <v>24302.15</v>
      </c>
      <c r="D433" s="13">
        <f t="shared" si="6"/>
        <v>1.1601759047100417E-3</v>
      </c>
      <c r="E433" s="13">
        <f t="shared" si="6"/>
        <v>8.9252669109216129E-4</v>
      </c>
      <c r="G433" s="4"/>
    </row>
    <row r="434" spans="1:7" x14ac:dyDescent="0.3">
      <c r="A434" s="25">
        <v>45476</v>
      </c>
      <c r="B434" s="13">
        <v>3190.95</v>
      </c>
      <c r="C434" s="13">
        <f>VLOOKUP(A:A,'Nifty 50 '!$A:$B,2,0)</f>
        <v>24286.5</v>
      </c>
      <c r="D434" s="13">
        <f t="shared" si="6"/>
        <v>-1.4743290158960087E-2</v>
      </c>
      <c r="E434" s="13">
        <f t="shared" si="6"/>
        <v>6.4418338608693553E-4</v>
      </c>
      <c r="G434" s="4"/>
    </row>
    <row r="435" spans="1:7" x14ac:dyDescent="0.3">
      <c r="A435" s="25">
        <v>45475</v>
      </c>
      <c r="B435" s="13">
        <v>3153.2</v>
      </c>
      <c r="C435" s="13">
        <f>VLOOKUP(A:A,'Nifty 50 '!$A:$B,2,0)</f>
        <v>24123.85</v>
      </c>
      <c r="D435" s="13">
        <f t="shared" si="6"/>
        <v>1.1900867900471989E-2</v>
      </c>
      <c r="E435" s="13">
        <f t="shared" si="6"/>
        <v>6.7196627176867064E-3</v>
      </c>
      <c r="G435" s="4"/>
    </row>
    <row r="436" spans="1:7" x14ac:dyDescent="0.3">
      <c r="A436" s="25">
        <v>45474</v>
      </c>
      <c r="B436" s="13">
        <v>3183.8</v>
      </c>
      <c r="C436" s="13">
        <f>VLOOKUP(A:A,'Nifty 50 '!$A:$B,2,0)</f>
        <v>24141.95</v>
      </c>
      <c r="D436" s="13">
        <f t="shared" si="6"/>
        <v>-9.6576417352824736E-3</v>
      </c>
      <c r="E436" s="13">
        <f t="shared" si="6"/>
        <v>-7.5001350225091805E-4</v>
      </c>
      <c r="G436" s="4"/>
    </row>
    <row r="437" spans="1:7" x14ac:dyDescent="0.3">
      <c r="A437" s="25">
        <v>45471</v>
      </c>
      <c r="B437" s="13">
        <v>3177.15</v>
      </c>
      <c r="C437" s="13">
        <f>VLOOKUP(A:A,'Nifty 50 '!$A:$B,2,0)</f>
        <v>24010.6</v>
      </c>
      <c r="D437" s="13">
        <f t="shared" si="6"/>
        <v>2.0908834129185496E-3</v>
      </c>
      <c r="E437" s="13">
        <f t="shared" si="6"/>
        <v>5.4555916887449258E-3</v>
      </c>
      <c r="G437" s="4"/>
    </row>
    <row r="438" spans="1:7" x14ac:dyDescent="0.3">
      <c r="A438" s="25">
        <v>45470</v>
      </c>
      <c r="B438" s="13">
        <v>3175.15</v>
      </c>
      <c r="C438" s="13">
        <f>VLOOKUP(A:A,'Nifty 50 '!$A:$B,2,0)</f>
        <v>24044.5</v>
      </c>
      <c r="D438" s="13">
        <f t="shared" si="6"/>
        <v>6.2969320280383554E-4</v>
      </c>
      <c r="E438" s="13">
        <f t="shared" si="6"/>
        <v>-1.4108806608831069E-3</v>
      </c>
      <c r="G438" s="4"/>
    </row>
    <row r="439" spans="1:7" x14ac:dyDescent="0.3">
      <c r="A439" s="25">
        <v>45469</v>
      </c>
      <c r="B439" s="13">
        <v>3170.5</v>
      </c>
      <c r="C439" s="13">
        <f>VLOOKUP(A:A,'Nifty 50 '!$A:$B,2,0)</f>
        <v>23868.799999999999</v>
      </c>
      <c r="D439" s="13">
        <f t="shared" si="6"/>
        <v>1.4655711652269482E-3</v>
      </c>
      <c r="E439" s="13">
        <f t="shared" si="6"/>
        <v>7.3341133907751897E-3</v>
      </c>
      <c r="G439" s="4"/>
    </row>
    <row r="440" spans="1:7" x14ac:dyDescent="0.3">
      <c r="A440" s="25">
        <v>45468</v>
      </c>
      <c r="B440" s="13">
        <v>3171.1</v>
      </c>
      <c r="C440" s="13">
        <f>VLOOKUP(A:A,'Nifty 50 '!$A:$B,2,0)</f>
        <v>23721.3</v>
      </c>
      <c r="D440" s="13">
        <f t="shared" si="6"/>
        <v>-1.8922669414355011E-4</v>
      </c>
      <c r="E440" s="13">
        <f t="shared" si="6"/>
        <v>6.1987880801539115E-3</v>
      </c>
      <c r="G440" s="4"/>
    </row>
    <row r="441" spans="1:7" x14ac:dyDescent="0.3">
      <c r="A441" s="25">
        <v>45467</v>
      </c>
      <c r="B441" s="13">
        <v>3194.6</v>
      </c>
      <c r="C441" s="13">
        <f>VLOOKUP(A:A,'Nifty 50 '!$A:$B,2,0)</f>
        <v>23537.85</v>
      </c>
      <c r="D441" s="13">
        <f t="shared" si="6"/>
        <v>-7.3833535216263867E-3</v>
      </c>
      <c r="E441" s="13">
        <f t="shared" si="6"/>
        <v>7.7636149373623573E-3</v>
      </c>
      <c r="G441" s="4"/>
    </row>
    <row r="442" spans="1:7" x14ac:dyDescent="0.3">
      <c r="A442" s="25">
        <v>45464</v>
      </c>
      <c r="B442" s="13">
        <v>3189.3</v>
      </c>
      <c r="C442" s="13">
        <f>VLOOKUP(A:A,'Nifty 50 '!$A:$B,2,0)</f>
        <v>23501.1</v>
      </c>
      <c r="D442" s="13">
        <f t="shared" si="6"/>
        <v>1.6604273931869105E-3</v>
      </c>
      <c r="E442" s="13">
        <f t="shared" si="6"/>
        <v>1.5625351959234377E-3</v>
      </c>
      <c r="G442" s="4"/>
    </row>
    <row r="443" spans="1:7" x14ac:dyDescent="0.3">
      <c r="A443" s="25">
        <v>45463</v>
      </c>
      <c r="B443" s="13">
        <v>3259.45</v>
      </c>
      <c r="C443" s="13">
        <f>VLOOKUP(A:A,'Nifty 50 '!$A:$B,2,0)</f>
        <v>23567</v>
      </c>
      <c r="D443" s="13">
        <f t="shared" si="6"/>
        <v>-2.1757012508229923E-2</v>
      </c>
      <c r="E443" s="13">
        <f t="shared" si="6"/>
        <v>-2.800199840690768E-3</v>
      </c>
      <c r="G443" s="4"/>
    </row>
    <row r="444" spans="1:7" x14ac:dyDescent="0.3">
      <c r="A444" s="25">
        <v>45462</v>
      </c>
      <c r="B444" s="13">
        <v>3261.9</v>
      </c>
      <c r="C444" s="13">
        <f>VLOOKUP(A:A,'Nifty 50 '!$A:$B,2,0)</f>
        <v>23516</v>
      </c>
      <c r="D444" s="13">
        <f t="shared" si="6"/>
        <v>-7.513782009143672E-4</v>
      </c>
      <c r="E444" s="13">
        <f t="shared" si="6"/>
        <v>2.1663878659495613E-3</v>
      </c>
      <c r="G444" s="4"/>
    </row>
    <row r="445" spans="1:7" x14ac:dyDescent="0.3">
      <c r="A445" s="25">
        <v>45461</v>
      </c>
      <c r="B445" s="13">
        <v>3309.05</v>
      </c>
      <c r="C445" s="13">
        <f>VLOOKUP(A:A,'Nifty 50 '!$A:$B,2,0)</f>
        <v>23557.9</v>
      </c>
      <c r="D445" s="13">
        <f t="shared" si="6"/>
        <v>-1.4351291440867407E-2</v>
      </c>
      <c r="E445" s="13">
        <f t="shared" si="6"/>
        <v>-1.7801801450586289E-3</v>
      </c>
      <c r="G445" s="4"/>
    </row>
    <row r="446" spans="1:7" x14ac:dyDescent="0.3">
      <c r="A446" s="25">
        <v>45457</v>
      </c>
      <c r="B446" s="13">
        <v>3261.75</v>
      </c>
      <c r="C446" s="13">
        <f>VLOOKUP(A:A,'Nifty 50 '!$A:$B,2,0)</f>
        <v>23465.599999999999</v>
      </c>
      <c r="D446" s="13">
        <f t="shared" si="6"/>
        <v>1.4397277966823401E-2</v>
      </c>
      <c r="E446" s="13">
        <f t="shared" si="6"/>
        <v>3.9257017677237702E-3</v>
      </c>
      <c r="G446" s="4"/>
    </row>
    <row r="447" spans="1:7" x14ac:dyDescent="0.3">
      <c r="A447" s="25">
        <v>45456</v>
      </c>
      <c r="B447" s="13">
        <v>3224.8</v>
      </c>
      <c r="C447" s="13">
        <f>VLOOKUP(A:A,'Nifty 50 '!$A:$B,2,0)</f>
        <v>23398.9</v>
      </c>
      <c r="D447" s="13">
        <f t="shared" si="6"/>
        <v>1.1392928342901494E-2</v>
      </c>
      <c r="E447" s="13">
        <f t="shared" si="6"/>
        <v>2.8465062056323236E-3</v>
      </c>
      <c r="G447" s="4"/>
    </row>
    <row r="448" spans="1:7" x14ac:dyDescent="0.3">
      <c r="A448" s="25">
        <v>45455</v>
      </c>
      <c r="B448" s="13">
        <v>3219.05</v>
      </c>
      <c r="C448" s="13">
        <f>VLOOKUP(A:A,'Nifty 50 '!$A:$B,2,0)</f>
        <v>23322.95</v>
      </c>
      <c r="D448" s="13">
        <f t="shared" si="6"/>
        <v>1.7846478506267039E-3</v>
      </c>
      <c r="E448" s="13">
        <f t="shared" si="6"/>
        <v>3.2511583723450442E-3</v>
      </c>
      <c r="G448" s="4"/>
    </row>
    <row r="449" spans="1:7" x14ac:dyDescent="0.3">
      <c r="A449" s="25">
        <v>45454</v>
      </c>
      <c r="B449" s="13">
        <v>3221.25</v>
      </c>
      <c r="C449" s="13">
        <f>VLOOKUP(A:A,'Nifty 50 '!$A:$B,2,0)</f>
        <v>23264.85</v>
      </c>
      <c r="D449" s="13">
        <f t="shared" si="6"/>
        <v>-6.8319801424540421E-4</v>
      </c>
      <c r="E449" s="13">
        <f t="shared" si="6"/>
        <v>2.4942165167948799E-3</v>
      </c>
      <c r="G449" s="4"/>
    </row>
    <row r="450" spans="1:7" x14ac:dyDescent="0.3">
      <c r="A450" s="25">
        <v>45453</v>
      </c>
      <c r="B450" s="13">
        <v>3220.1</v>
      </c>
      <c r="C450" s="13">
        <f>VLOOKUP(A:A,'Nifty 50 '!$A:$B,2,0)</f>
        <v>23259.200000000001</v>
      </c>
      <c r="D450" s="13">
        <f t="shared" si="6"/>
        <v>3.5706800972418683E-4</v>
      </c>
      <c r="E450" s="13">
        <f t="shared" si="6"/>
        <v>2.4288513264755015E-4</v>
      </c>
      <c r="G450" s="4"/>
    </row>
    <row r="451" spans="1:7" x14ac:dyDescent="0.3">
      <c r="A451" s="25">
        <v>45450</v>
      </c>
      <c r="B451" s="13">
        <v>3219.55</v>
      </c>
      <c r="C451" s="13">
        <f>VLOOKUP(A:A,'Nifty 50 '!$A:$B,2,0)</f>
        <v>23290.15</v>
      </c>
      <c r="D451" s="13">
        <f t="shared" si="6"/>
        <v>1.7081673734979289E-4</v>
      </c>
      <c r="E451" s="13">
        <f t="shared" si="6"/>
        <v>-1.3297717180034533E-3</v>
      </c>
      <c r="G451" s="4"/>
    </row>
    <row r="452" spans="1:7" x14ac:dyDescent="0.3">
      <c r="A452" s="25">
        <v>45449</v>
      </c>
      <c r="B452" s="13">
        <v>3185.65</v>
      </c>
      <c r="C452" s="13">
        <f>VLOOKUP(A:A,'Nifty 50 '!$A:$B,2,0)</f>
        <v>22821.4</v>
      </c>
      <c r="D452" s="13">
        <f t="shared" ref="D452:E515" si="7">LN(B451/B452)</f>
        <v>1.0585248402407595E-2</v>
      </c>
      <c r="E452" s="13">
        <f t="shared" si="7"/>
        <v>2.0331832162561177E-2</v>
      </c>
      <c r="G452" s="4"/>
    </row>
    <row r="453" spans="1:7" x14ac:dyDescent="0.3">
      <c r="A453" s="25">
        <v>45448</v>
      </c>
      <c r="B453" s="13">
        <v>3115.35</v>
      </c>
      <c r="C453" s="13">
        <f>VLOOKUP(A:A,'Nifty 50 '!$A:$B,2,0)</f>
        <v>22620.35</v>
      </c>
      <c r="D453" s="13">
        <f t="shared" si="7"/>
        <v>2.2314844356839534E-2</v>
      </c>
      <c r="E453" s="13">
        <f t="shared" si="7"/>
        <v>8.8487486443831614E-3</v>
      </c>
      <c r="G453" s="4"/>
    </row>
    <row r="454" spans="1:7" x14ac:dyDescent="0.3">
      <c r="A454" s="25">
        <v>45447</v>
      </c>
      <c r="B454" s="13">
        <v>2941.25</v>
      </c>
      <c r="C454" s="13">
        <f>VLOOKUP(A:A,'Nifty 50 '!$A:$B,2,0)</f>
        <v>21884.5</v>
      </c>
      <c r="D454" s="13">
        <f t="shared" si="7"/>
        <v>5.7506844418681632E-2</v>
      </c>
      <c r="E454" s="13">
        <f t="shared" si="7"/>
        <v>3.3071319917765837E-2</v>
      </c>
      <c r="G454" s="4"/>
    </row>
    <row r="455" spans="1:7" x14ac:dyDescent="0.3">
      <c r="A455" s="25">
        <v>45446</v>
      </c>
      <c r="B455" s="13">
        <v>3645.25</v>
      </c>
      <c r="C455" s="13">
        <f>VLOOKUP(A:A,'Nifty 50 '!$A:$B,2,0)</f>
        <v>23263.9</v>
      </c>
      <c r="D455" s="13">
        <f t="shared" si="7"/>
        <v>-0.21459028915482251</v>
      </c>
      <c r="E455" s="13">
        <f t="shared" si="7"/>
        <v>-6.1124179171720965E-2</v>
      </c>
      <c r="G455" s="4"/>
    </row>
    <row r="456" spans="1:7" x14ac:dyDescent="0.3">
      <c r="A456" s="25">
        <v>45443</v>
      </c>
      <c r="B456" s="13">
        <v>3411.35</v>
      </c>
      <c r="C456" s="13">
        <f>VLOOKUP(A:A,'Nifty 50 '!$A:$B,2,0)</f>
        <v>22530.7</v>
      </c>
      <c r="D456" s="13">
        <f t="shared" si="7"/>
        <v>6.6316842836201761E-2</v>
      </c>
      <c r="E456" s="13">
        <f t="shared" si="7"/>
        <v>3.2023979208572827E-2</v>
      </c>
      <c r="G456" s="4"/>
    </row>
    <row r="457" spans="1:7" x14ac:dyDescent="0.3">
      <c r="A457" s="25">
        <v>45442</v>
      </c>
      <c r="B457" s="13">
        <v>3194.25</v>
      </c>
      <c r="C457" s="13">
        <f>VLOOKUP(A:A,'Nifty 50 '!$A:$B,2,0)</f>
        <v>22488.65</v>
      </c>
      <c r="D457" s="13">
        <f t="shared" si="7"/>
        <v>6.57557888887602E-2</v>
      </c>
      <c r="E457" s="13">
        <f t="shared" si="7"/>
        <v>1.8680861553376123E-3</v>
      </c>
      <c r="G457" s="4"/>
    </row>
    <row r="458" spans="1:7" x14ac:dyDescent="0.3">
      <c r="A458" s="25">
        <v>45441</v>
      </c>
      <c r="B458" s="13">
        <v>3258.8</v>
      </c>
      <c r="C458" s="13">
        <f>VLOOKUP(A:A,'Nifty 50 '!$A:$B,2,0)</f>
        <v>22704.7</v>
      </c>
      <c r="D458" s="13">
        <f t="shared" si="7"/>
        <v>-2.0006710965054224E-2</v>
      </c>
      <c r="E458" s="13">
        <f t="shared" si="7"/>
        <v>-9.5612140229056203E-3</v>
      </c>
      <c r="G458" s="4"/>
    </row>
    <row r="459" spans="1:7" x14ac:dyDescent="0.3">
      <c r="A459" s="25">
        <v>45440</v>
      </c>
      <c r="B459" s="13">
        <v>3244.05</v>
      </c>
      <c r="C459" s="13">
        <f>VLOOKUP(A:A,'Nifty 50 '!$A:$B,2,0)</f>
        <v>22888.15</v>
      </c>
      <c r="D459" s="13">
        <f t="shared" si="7"/>
        <v>4.5364802496797576E-3</v>
      </c>
      <c r="E459" s="13">
        <f t="shared" si="7"/>
        <v>-8.0473578649701855E-3</v>
      </c>
      <c r="G459" s="4"/>
    </row>
    <row r="460" spans="1:7" x14ac:dyDescent="0.3">
      <c r="A460" s="25">
        <v>45439</v>
      </c>
      <c r="B460" s="13">
        <v>3289.05</v>
      </c>
      <c r="C460" s="13">
        <f>VLOOKUP(A:A,'Nifty 50 '!$A:$B,2,0)</f>
        <v>22932.45</v>
      </c>
      <c r="D460" s="13">
        <f t="shared" si="7"/>
        <v>-1.3776220075813056E-2</v>
      </c>
      <c r="E460" s="13">
        <f t="shared" si="7"/>
        <v>-1.9336287086089532E-3</v>
      </c>
      <c r="G460" s="4"/>
    </row>
    <row r="461" spans="1:7" x14ac:dyDescent="0.3">
      <c r="A461" s="25">
        <v>45436</v>
      </c>
      <c r="B461" s="13">
        <v>3384.95</v>
      </c>
      <c r="C461" s="13">
        <f>VLOOKUP(A:A,'Nifty 50 '!$A:$B,2,0)</f>
        <v>22957.1</v>
      </c>
      <c r="D461" s="13">
        <f t="shared" si="7"/>
        <v>-2.8740365925917648E-2</v>
      </c>
      <c r="E461" s="13">
        <f t="shared" si="7"/>
        <v>-1.0743187662915156E-3</v>
      </c>
      <c r="G461" s="4"/>
    </row>
    <row r="462" spans="1:7" x14ac:dyDescent="0.3">
      <c r="A462" s="25">
        <v>45435</v>
      </c>
      <c r="B462" s="13">
        <v>3387.3</v>
      </c>
      <c r="C462" s="13">
        <f>VLOOKUP(A:A,'Nifty 50 '!$A:$B,2,0)</f>
        <v>22967.65</v>
      </c>
      <c r="D462" s="13">
        <f t="shared" si="7"/>
        <v>-6.9400866604840857E-4</v>
      </c>
      <c r="E462" s="13">
        <f t="shared" si="7"/>
        <v>-4.5944725602593643E-4</v>
      </c>
      <c r="G462" s="4"/>
    </row>
    <row r="463" spans="1:7" x14ac:dyDescent="0.3">
      <c r="A463" s="25">
        <v>45434</v>
      </c>
      <c r="B463" s="13">
        <v>3140.95</v>
      </c>
      <c r="C463" s="13">
        <f>VLOOKUP(A:A,'Nifty 50 '!$A:$B,2,0)</f>
        <v>22597.8</v>
      </c>
      <c r="D463" s="13">
        <f t="shared" si="7"/>
        <v>7.5507841939934275E-2</v>
      </c>
      <c r="E463" s="13">
        <f t="shared" si="7"/>
        <v>1.6234147702677632E-2</v>
      </c>
      <c r="G463" s="4"/>
    </row>
    <row r="464" spans="1:7" x14ac:dyDescent="0.3">
      <c r="A464" s="25">
        <v>45433</v>
      </c>
      <c r="B464" s="13">
        <v>3117.5</v>
      </c>
      <c r="C464" s="13">
        <f>VLOOKUP(A:A,'Nifty 50 '!$A:$B,2,0)</f>
        <v>22529.05</v>
      </c>
      <c r="D464" s="13">
        <f t="shared" si="7"/>
        <v>7.4939033604604841E-3</v>
      </c>
      <c r="E464" s="13">
        <f t="shared" si="7"/>
        <v>3.0469688528972257E-3</v>
      </c>
      <c r="G464" s="4"/>
    </row>
    <row r="465" spans="1:7" x14ac:dyDescent="0.3">
      <c r="A465" s="25">
        <v>45430</v>
      </c>
      <c r="B465" s="13">
        <v>3059.75</v>
      </c>
      <c r="C465" s="13">
        <f>VLOOKUP(A:A,'Nifty 50 '!$A:$B,2,0)</f>
        <v>22502</v>
      </c>
      <c r="D465" s="13">
        <f t="shared" si="7"/>
        <v>1.869818529174376E-2</v>
      </c>
      <c r="E465" s="13">
        <f t="shared" si="7"/>
        <v>1.2013934053743151E-3</v>
      </c>
      <c r="G465" s="4"/>
    </row>
    <row r="466" spans="1:7" x14ac:dyDescent="0.3">
      <c r="A466" s="25">
        <v>45429</v>
      </c>
      <c r="B466" s="13">
        <v>3060.5</v>
      </c>
      <c r="C466" s="13">
        <f>VLOOKUP(A:A,'Nifty 50 '!$A:$B,2,0)</f>
        <v>22466.1</v>
      </c>
      <c r="D466" s="13">
        <f t="shared" si="7"/>
        <v>-2.4508802867670388E-4</v>
      </c>
      <c r="E466" s="13">
        <f t="shared" si="7"/>
        <v>1.5966877687512294E-3</v>
      </c>
      <c r="G466" s="4"/>
    </row>
    <row r="467" spans="1:7" x14ac:dyDescent="0.3">
      <c r="A467" s="25">
        <v>45428</v>
      </c>
      <c r="B467" s="13">
        <v>3041.65</v>
      </c>
      <c r="C467" s="13">
        <f>VLOOKUP(A:A,'Nifty 50 '!$A:$B,2,0)</f>
        <v>22403.85</v>
      </c>
      <c r="D467" s="13">
        <f t="shared" si="7"/>
        <v>6.1781699756089962E-3</v>
      </c>
      <c r="E467" s="13">
        <f t="shared" si="7"/>
        <v>2.7746872879504058E-3</v>
      </c>
      <c r="G467" s="4"/>
    </row>
    <row r="468" spans="1:7" x14ac:dyDescent="0.3">
      <c r="A468" s="25">
        <v>45427</v>
      </c>
      <c r="B468" s="13">
        <v>3049.75</v>
      </c>
      <c r="C468" s="13">
        <f>VLOOKUP(A:A,'Nifty 50 '!$A:$B,2,0)</f>
        <v>22200.55</v>
      </c>
      <c r="D468" s="13">
        <f t="shared" si="7"/>
        <v>-2.6594887133314098E-3</v>
      </c>
      <c r="E468" s="13">
        <f t="shared" si="7"/>
        <v>9.115755746059738E-3</v>
      </c>
      <c r="G468" s="4"/>
    </row>
    <row r="469" spans="1:7" x14ac:dyDescent="0.3">
      <c r="A469" s="25">
        <v>45426</v>
      </c>
      <c r="B469" s="13">
        <v>3037.55</v>
      </c>
      <c r="C469" s="13">
        <f>VLOOKUP(A:A,'Nifty 50 '!$A:$B,2,0)</f>
        <v>22217.85</v>
      </c>
      <c r="D469" s="13">
        <f t="shared" si="7"/>
        <v>4.0083506101724333E-3</v>
      </c>
      <c r="E469" s="13">
        <f t="shared" si="7"/>
        <v>-7.7895650787794773E-4</v>
      </c>
      <c r="G469" s="4"/>
    </row>
    <row r="470" spans="1:7" x14ac:dyDescent="0.3">
      <c r="A470" s="25">
        <v>45425</v>
      </c>
      <c r="B470" s="13">
        <v>2879.6</v>
      </c>
      <c r="C470" s="13">
        <f>VLOOKUP(A:A,'Nifty 50 '!$A:$B,2,0)</f>
        <v>22104.05</v>
      </c>
      <c r="D470" s="13">
        <f t="shared" si="7"/>
        <v>5.3399873823526747E-2</v>
      </c>
      <c r="E470" s="13">
        <f t="shared" si="7"/>
        <v>5.1351702014188691E-3</v>
      </c>
      <c r="G470" s="4"/>
    </row>
    <row r="471" spans="1:7" x14ac:dyDescent="0.3">
      <c r="A471" s="25">
        <v>45422</v>
      </c>
      <c r="B471" s="13">
        <v>2797.25</v>
      </c>
      <c r="C471" s="13">
        <f>VLOOKUP(A:A,'Nifty 50 '!$A:$B,2,0)</f>
        <v>22055.200000000001</v>
      </c>
      <c r="D471" s="13">
        <f t="shared" si="7"/>
        <v>2.9014603907317162E-2</v>
      </c>
      <c r="E471" s="13">
        <f t="shared" si="7"/>
        <v>2.2124478982964036E-3</v>
      </c>
      <c r="G471" s="4"/>
    </row>
    <row r="472" spans="1:7" x14ac:dyDescent="0.3">
      <c r="A472" s="25">
        <v>45421</v>
      </c>
      <c r="B472" s="13">
        <v>2766.65</v>
      </c>
      <c r="C472" s="13">
        <f>VLOOKUP(A:A,'Nifty 50 '!$A:$B,2,0)</f>
        <v>21957.5</v>
      </c>
      <c r="D472" s="13">
        <f t="shared" si="7"/>
        <v>1.0999589685781457E-2</v>
      </c>
      <c r="E472" s="13">
        <f t="shared" si="7"/>
        <v>4.4396349451461085E-3</v>
      </c>
      <c r="G472" s="4"/>
    </row>
    <row r="473" spans="1:7" x14ac:dyDescent="0.3">
      <c r="A473" s="25">
        <v>45420</v>
      </c>
      <c r="B473" s="13">
        <v>2860.55</v>
      </c>
      <c r="C473" s="13">
        <f>VLOOKUP(A:A,'Nifty 50 '!$A:$B,2,0)</f>
        <v>22302.5</v>
      </c>
      <c r="D473" s="13">
        <f t="shared" si="7"/>
        <v>-3.3376712015402925E-2</v>
      </c>
      <c r="E473" s="13">
        <f t="shared" si="7"/>
        <v>-1.5590012996666094E-2</v>
      </c>
      <c r="G473" s="4"/>
    </row>
    <row r="474" spans="1:7" x14ac:dyDescent="0.3">
      <c r="A474" s="25">
        <v>45419</v>
      </c>
      <c r="B474" s="13">
        <v>2835.95</v>
      </c>
      <c r="C474" s="13">
        <f>VLOOKUP(A:A,'Nifty 50 '!$A:$B,2,0)</f>
        <v>22302.5</v>
      </c>
      <c r="D474" s="13">
        <f t="shared" si="7"/>
        <v>8.636935986296803E-3</v>
      </c>
      <c r="E474" s="13">
        <f t="shared" si="7"/>
        <v>0</v>
      </c>
      <c r="G474" s="4"/>
    </row>
    <row r="475" spans="1:7" x14ac:dyDescent="0.3">
      <c r="A475" s="25">
        <v>45418</v>
      </c>
      <c r="B475" s="13">
        <v>2874.65</v>
      </c>
      <c r="C475" s="13">
        <f>VLOOKUP(A:A,'Nifty 50 '!$A:$B,2,0)</f>
        <v>22442.7</v>
      </c>
      <c r="D475" s="13">
        <f t="shared" si="7"/>
        <v>-1.3553949659051353E-2</v>
      </c>
      <c r="E475" s="13">
        <f t="shared" si="7"/>
        <v>-6.2666144663355581E-3</v>
      </c>
      <c r="G475" s="4"/>
    </row>
    <row r="476" spans="1:7" x14ac:dyDescent="0.3">
      <c r="A476" s="25">
        <v>45415</v>
      </c>
      <c r="B476" s="13">
        <v>2993.25</v>
      </c>
      <c r="C476" s="13">
        <f>VLOOKUP(A:A,'Nifty 50 '!$A:$B,2,0)</f>
        <v>22475.85</v>
      </c>
      <c r="D476" s="13">
        <f t="shared" si="7"/>
        <v>-4.0428825906746312E-2</v>
      </c>
      <c r="E476" s="13">
        <f t="shared" si="7"/>
        <v>-1.476005170173867E-3</v>
      </c>
      <c r="G476" s="4"/>
    </row>
    <row r="477" spans="1:7" x14ac:dyDescent="0.3">
      <c r="A477" s="25">
        <v>45414</v>
      </c>
      <c r="B477" s="13">
        <v>3039.6</v>
      </c>
      <c r="C477" s="13">
        <f>VLOOKUP(A:A,'Nifty 50 '!$A:$B,2,0)</f>
        <v>22648.2</v>
      </c>
      <c r="D477" s="13">
        <f t="shared" si="7"/>
        <v>-1.5366174198676801E-2</v>
      </c>
      <c r="E477" s="13">
        <f t="shared" si="7"/>
        <v>-7.6389791301331271E-3</v>
      </c>
      <c r="G477" s="4"/>
    </row>
    <row r="478" spans="1:7" x14ac:dyDescent="0.3">
      <c r="A478" s="25">
        <v>45412</v>
      </c>
      <c r="B478" s="13">
        <v>3054.7</v>
      </c>
      <c r="C478" s="13">
        <f>VLOOKUP(A:A,'Nifty 50 '!$A:$B,2,0)</f>
        <v>22604.85</v>
      </c>
      <c r="D478" s="13">
        <f t="shared" si="7"/>
        <v>-4.9554603154945377E-3</v>
      </c>
      <c r="E478" s="13">
        <f t="shared" si="7"/>
        <v>1.9158935479583357E-3</v>
      </c>
      <c r="G478" s="4"/>
    </row>
    <row r="479" spans="1:7" x14ac:dyDescent="0.3">
      <c r="A479" s="25">
        <v>45411</v>
      </c>
      <c r="B479" s="13">
        <v>3081.2</v>
      </c>
      <c r="C479" s="13">
        <f>VLOOKUP(A:A,'Nifty 50 '!$A:$B,2,0)</f>
        <v>22643.4</v>
      </c>
      <c r="D479" s="13">
        <f t="shared" si="7"/>
        <v>-8.6377433676863777E-3</v>
      </c>
      <c r="E479" s="13">
        <f t="shared" si="7"/>
        <v>-1.7039337135533136E-3</v>
      </c>
      <c r="G479" s="4"/>
    </row>
    <row r="480" spans="1:7" x14ac:dyDescent="0.3">
      <c r="A480" s="25">
        <v>45408</v>
      </c>
      <c r="B480" s="13">
        <v>3080.4</v>
      </c>
      <c r="C480" s="13">
        <f>VLOOKUP(A:A,'Nifty 50 '!$A:$B,2,0)</f>
        <v>22419.95</v>
      </c>
      <c r="D480" s="13">
        <f t="shared" si="7"/>
        <v>2.5967281371565E-4</v>
      </c>
      <c r="E480" s="13">
        <f t="shared" si="7"/>
        <v>9.9172312481621942E-3</v>
      </c>
      <c r="G480" s="4"/>
    </row>
    <row r="481" spans="1:7" x14ac:dyDescent="0.3">
      <c r="A481" s="25">
        <v>45407</v>
      </c>
      <c r="B481" s="13">
        <v>3115.25</v>
      </c>
      <c r="C481" s="13">
        <f>VLOOKUP(A:A,'Nifty 50 '!$A:$B,2,0)</f>
        <v>22570.35</v>
      </c>
      <c r="D481" s="13">
        <f t="shared" si="7"/>
        <v>-1.1249947157881931E-2</v>
      </c>
      <c r="E481" s="13">
        <f t="shared" si="7"/>
        <v>-6.6859105299196739E-3</v>
      </c>
      <c r="G481" s="4"/>
    </row>
    <row r="482" spans="1:7" x14ac:dyDescent="0.3">
      <c r="A482" s="25">
        <v>45406</v>
      </c>
      <c r="B482" s="13">
        <v>3043.55</v>
      </c>
      <c r="C482" s="13">
        <f>VLOOKUP(A:A,'Nifty 50 '!$A:$B,2,0)</f>
        <v>22402.400000000001</v>
      </c>
      <c r="D482" s="13">
        <f t="shared" si="7"/>
        <v>2.3284808569860933E-2</v>
      </c>
      <c r="E482" s="13">
        <f t="shared" si="7"/>
        <v>7.4690020410453127E-3</v>
      </c>
      <c r="G482" s="4"/>
    </row>
    <row r="483" spans="1:7" x14ac:dyDescent="0.3">
      <c r="A483" s="25">
        <v>45405</v>
      </c>
      <c r="B483" s="13">
        <v>3065.1</v>
      </c>
      <c r="C483" s="13">
        <f>VLOOKUP(A:A,'Nifty 50 '!$A:$B,2,0)</f>
        <v>22368</v>
      </c>
      <c r="D483" s="13">
        <f t="shared" si="7"/>
        <v>-7.0555980123715003E-3</v>
      </c>
      <c r="E483" s="13">
        <f t="shared" si="7"/>
        <v>1.5367299273513811E-3</v>
      </c>
      <c r="G483" s="4"/>
    </row>
    <row r="484" spans="1:7" x14ac:dyDescent="0.3">
      <c r="A484" s="25">
        <v>45404</v>
      </c>
      <c r="B484" s="13">
        <v>3063.35</v>
      </c>
      <c r="C484" s="13">
        <f>VLOOKUP(A:A,'Nifty 50 '!$A:$B,2,0)</f>
        <v>22336.400000000001</v>
      </c>
      <c r="D484" s="13">
        <f t="shared" si="7"/>
        <v>5.7110690225601929E-4</v>
      </c>
      <c r="E484" s="13">
        <f t="shared" si="7"/>
        <v>1.4137313223340777E-3</v>
      </c>
      <c r="G484" s="4"/>
    </row>
    <row r="485" spans="1:7" x14ac:dyDescent="0.3">
      <c r="A485" s="25">
        <v>45401</v>
      </c>
      <c r="B485" s="13">
        <v>3026.95</v>
      </c>
      <c r="C485" s="13">
        <f>VLOOKUP(A:A,'Nifty 50 '!$A:$B,2,0)</f>
        <v>22147</v>
      </c>
      <c r="D485" s="13">
        <f t="shared" si="7"/>
        <v>1.1953576482561772E-2</v>
      </c>
      <c r="E485" s="13">
        <f t="shared" si="7"/>
        <v>8.5155875913575322E-3</v>
      </c>
      <c r="G485" s="4"/>
    </row>
    <row r="486" spans="1:7" x14ac:dyDescent="0.3">
      <c r="A486" s="25">
        <v>45400</v>
      </c>
      <c r="B486" s="13">
        <v>3019.3</v>
      </c>
      <c r="C486" s="13">
        <f>VLOOKUP(A:A,'Nifty 50 '!$A:$B,2,0)</f>
        <v>21995.85</v>
      </c>
      <c r="D486" s="13">
        <f t="shared" si="7"/>
        <v>2.5304954582331214E-3</v>
      </c>
      <c r="E486" s="13">
        <f t="shared" si="7"/>
        <v>6.8482479371053118E-3</v>
      </c>
      <c r="G486" s="4"/>
    </row>
    <row r="487" spans="1:7" x14ac:dyDescent="0.3">
      <c r="A487" s="25">
        <v>45398</v>
      </c>
      <c r="B487" s="13">
        <v>3106.4</v>
      </c>
      <c r="C487" s="13">
        <f>VLOOKUP(A:A,'Nifty 50 '!$A:$B,2,0)</f>
        <v>22147.9</v>
      </c>
      <c r="D487" s="13">
        <f t="shared" si="7"/>
        <v>-2.8439482995020988E-2</v>
      </c>
      <c r="E487" s="13">
        <f t="shared" si="7"/>
        <v>-6.8888846695565574E-3</v>
      </c>
      <c r="G487" s="4"/>
    </row>
    <row r="488" spans="1:7" x14ac:dyDescent="0.3">
      <c r="A488" s="25">
        <v>45397</v>
      </c>
      <c r="B488" s="13">
        <v>3147.45</v>
      </c>
      <c r="C488" s="13">
        <f>VLOOKUP(A:A,'Nifty 50 '!$A:$B,2,0)</f>
        <v>22272.5</v>
      </c>
      <c r="D488" s="13">
        <f t="shared" si="7"/>
        <v>-1.3128101751356024E-2</v>
      </c>
      <c r="E488" s="13">
        <f t="shared" si="7"/>
        <v>-5.6100497425024482E-3</v>
      </c>
      <c r="G488" s="4"/>
    </row>
    <row r="489" spans="1:7" x14ac:dyDescent="0.3">
      <c r="A489" s="25">
        <v>45394</v>
      </c>
      <c r="B489" s="13">
        <v>3209.9</v>
      </c>
      <c r="C489" s="13">
        <f>VLOOKUP(A:A,'Nifty 50 '!$A:$B,2,0)</f>
        <v>22519.4</v>
      </c>
      <c r="D489" s="13">
        <f t="shared" si="7"/>
        <v>-1.9647182822019049E-2</v>
      </c>
      <c r="E489" s="13">
        <f t="shared" si="7"/>
        <v>-1.1024426319883079E-2</v>
      </c>
      <c r="G489" s="4"/>
    </row>
    <row r="490" spans="1:7" x14ac:dyDescent="0.3">
      <c r="A490" s="25">
        <v>45392</v>
      </c>
      <c r="B490" s="13">
        <v>3242</v>
      </c>
      <c r="C490" s="13">
        <f>VLOOKUP(A:A,'Nifty 50 '!$A:$B,2,0)</f>
        <v>22753.8</v>
      </c>
      <c r="D490" s="13">
        <f t="shared" si="7"/>
        <v>-9.9506393047887349E-3</v>
      </c>
      <c r="E490" s="13">
        <f t="shared" si="7"/>
        <v>-1.0355004482994602E-2</v>
      </c>
      <c r="G490" s="4"/>
    </row>
    <row r="491" spans="1:7" x14ac:dyDescent="0.3">
      <c r="A491" s="25">
        <v>45391</v>
      </c>
      <c r="B491" s="13">
        <v>3198.45</v>
      </c>
      <c r="C491" s="13">
        <f>VLOOKUP(A:A,'Nifty 50 '!$A:$B,2,0)</f>
        <v>22642.75</v>
      </c>
      <c r="D491" s="13">
        <f t="shared" si="7"/>
        <v>1.352410585526885E-2</v>
      </c>
      <c r="E491" s="13">
        <f t="shared" si="7"/>
        <v>4.8924520259116325E-3</v>
      </c>
      <c r="G491" s="4"/>
    </row>
    <row r="492" spans="1:7" x14ac:dyDescent="0.3">
      <c r="A492" s="25">
        <v>45390</v>
      </c>
      <c r="B492" s="13">
        <v>3224.55</v>
      </c>
      <c r="C492" s="13">
        <f>VLOOKUP(A:A,'Nifty 50 '!$A:$B,2,0)</f>
        <v>22666.3</v>
      </c>
      <c r="D492" s="13">
        <f t="shared" si="7"/>
        <v>-8.1270881699018749E-3</v>
      </c>
      <c r="E492" s="13">
        <f t="shared" si="7"/>
        <v>-1.0395275169402805E-3</v>
      </c>
      <c r="G492" s="4"/>
    </row>
    <row r="493" spans="1:7" x14ac:dyDescent="0.3">
      <c r="A493" s="25">
        <v>45387</v>
      </c>
      <c r="B493" s="13">
        <v>3224.8</v>
      </c>
      <c r="C493" s="13">
        <f>VLOOKUP(A:A,'Nifty 50 '!$A:$B,2,0)</f>
        <v>22513.7</v>
      </c>
      <c r="D493" s="13">
        <f t="shared" si="7"/>
        <v>-7.7527192701617011E-5</v>
      </c>
      <c r="E493" s="13">
        <f t="shared" si="7"/>
        <v>6.7552271049311262E-3</v>
      </c>
      <c r="G493" s="4"/>
    </row>
    <row r="494" spans="1:7" x14ac:dyDescent="0.3">
      <c r="A494" s="25">
        <v>45386</v>
      </c>
      <c r="B494" s="13">
        <v>3210.8</v>
      </c>
      <c r="C494" s="13">
        <f>VLOOKUP(A:A,'Nifty 50 '!$A:$B,2,0)</f>
        <v>22514.65</v>
      </c>
      <c r="D494" s="13">
        <f t="shared" si="7"/>
        <v>4.3508055455341831E-3</v>
      </c>
      <c r="E494" s="13">
        <f t="shared" si="7"/>
        <v>-4.2195638976008428E-5</v>
      </c>
      <c r="G494" s="4"/>
    </row>
    <row r="495" spans="1:7" x14ac:dyDescent="0.3">
      <c r="A495" s="25">
        <v>45385</v>
      </c>
      <c r="B495" s="13">
        <v>3233.45</v>
      </c>
      <c r="C495" s="13">
        <f>VLOOKUP(A:A,'Nifty 50 '!$A:$B,2,0)</f>
        <v>22434.65</v>
      </c>
      <c r="D495" s="13">
        <f t="shared" si="7"/>
        <v>-7.0295513892125391E-3</v>
      </c>
      <c r="E495" s="13">
        <f t="shared" si="7"/>
        <v>3.5595697583823936E-3</v>
      </c>
      <c r="G495" s="4"/>
    </row>
    <row r="496" spans="1:7" x14ac:dyDescent="0.3">
      <c r="A496" s="25">
        <v>45384</v>
      </c>
      <c r="B496" s="13">
        <v>3268.75</v>
      </c>
      <c r="C496" s="13">
        <f>VLOOKUP(A:A,'Nifty 50 '!$A:$B,2,0)</f>
        <v>22453.3</v>
      </c>
      <c r="D496" s="13">
        <f t="shared" si="7"/>
        <v>-1.0857970166598568E-2</v>
      </c>
      <c r="E496" s="13">
        <f t="shared" si="7"/>
        <v>-8.3095802205875437E-4</v>
      </c>
      <c r="G496" s="4"/>
    </row>
    <row r="497" spans="1:7" x14ac:dyDescent="0.3">
      <c r="A497" s="25">
        <v>45383</v>
      </c>
      <c r="B497" s="13">
        <v>3252.1</v>
      </c>
      <c r="C497" s="13">
        <f>VLOOKUP(A:A,'Nifty 50 '!$A:$B,2,0)</f>
        <v>22462</v>
      </c>
      <c r="D497" s="13">
        <f t="shared" si="7"/>
        <v>5.1067073108097671E-3</v>
      </c>
      <c r="E497" s="13">
        <f t="shared" si="7"/>
        <v>-3.8739583655484331E-4</v>
      </c>
      <c r="G497" s="4"/>
    </row>
    <row r="498" spans="1:7" x14ac:dyDescent="0.3">
      <c r="A498" s="25">
        <v>45379</v>
      </c>
      <c r="B498" s="13">
        <v>3197.1</v>
      </c>
      <c r="C498" s="13">
        <f>VLOOKUP(A:A,'Nifty 50 '!$A:$B,2,0)</f>
        <v>22326.9</v>
      </c>
      <c r="D498" s="13">
        <f t="shared" si="7"/>
        <v>1.7056792607403056E-2</v>
      </c>
      <c r="E498" s="13">
        <f t="shared" si="7"/>
        <v>6.0327630166456293E-3</v>
      </c>
      <c r="G498" s="4"/>
    </row>
    <row r="499" spans="1:7" x14ac:dyDescent="0.3">
      <c r="A499" s="25">
        <v>45378</v>
      </c>
      <c r="B499" s="13">
        <v>3122.1</v>
      </c>
      <c r="C499" s="13">
        <f>VLOOKUP(A:A,'Nifty 50 '!$A:$B,2,0)</f>
        <v>22123.65</v>
      </c>
      <c r="D499" s="13">
        <f t="shared" si="7"/>
        <v>2.3738296583096796E-2</v>
      </c>
      <c r="E499" s="13">
        <f t="shared" si="7"/>
        <v>9.1450574409679217E-3</v>
      </c>
      <c r="G499" s="4"/>
    </row>
    <row r="500" spans="1:7" x14ac:dyDescent="0.3">
      <c r="A500" s="25">
        <v>45377</v>
      </c>
      <c r="B500" s="13">
        <v>3109.95</v>
      </c>
      <c r="C500" s="13">
        <f>VLOOKUP(A:A,'Nifty 50 '!$A:$B,2,0)</f>
        <v>22004.7</v>
      </c>
      <c r="D500" s="13">
        <f t="shared" si="7"/>
        <v>3.8992034383007884E-3</v>
      </c>
      <c r="E500" s="13">
        <f t="shared" si="7"/>
        <v>5.3911051782769932E-3</v>
      </c>
      <c r="G500" s="4"/>
    </row>
    <row r="501" spans="1:7" x14ac:dyDescent="0.3">
      <c r="A501" s="25">
        <v>45373</v>
      </c>
      <c r="B501" s="13">
        <v>3107.7</v>
      </c>
      <c r="C501" s="13">
        <f>VLOOKUP(A:A,'Nifty 50 '!$A:$B,2,0)</f>
        <v>22096.75</v>
      </c>
      <c r="D501" s="13">
        <f t="shared" si="7"/>
        <v>7.2374614145670761E-4</v>
      </c>
      <c r="E501" s="13">
        <f t="shared" si="7"/>
        <v>-4.1744719810147216E-3</v>
      </c>
      <c r="G501" s="4"/>
    </row>
    <row r="502" spans="1:7" x14ac:dyDescent="0.3">
      <c r="A502" s="25">
        <v>45372</v>
      </c>
      <c r="B502" s="13">
        <v>3066.5</v>
      </c>
      <c r="C502" s="13">
        <f>VLOOKUP(A:A,'Nifty 50 '!$A:$B,2,0)</f>
        <v>22011.95</v>
      </c>
      <c r="D502" s="13">
        <f t="shared" si="7"/>
        <v>1.3346056666127582E-2</v>
      </c>
      <c r="E502" s="13">
        <f t="shared" si="7"/>
        <v>3.8450511793153485E-3</v>
      </c>
      <c r="G502" s="4"/>
    </row>
    <row r="503" spans="1:7" x14ac:dyDescent="0.3">
      <c r="A503" s="25">
        <v>45371</v>
      </c>
      <c r="B503" s="13">
        <v>3051.45</v>
      </c>
      <c r="C503" s="13">
        <f>VLOOKUP(A:A,'Nifty 50 '!$A:$B,2,0)</f>
        <v>21839.1</v>
      </c>
      <c r="D503" s="13">
        <f t="shared" si="7"/>
        <v>4.9199585999679064E-3</v>
      </c>
      <c r="E503" s="13">
        <f t="shared" si="7"/>
        <v>7.883546470263552E-3</v>
      </c>
      <c r="G503" s="4"/>
    </row>
    <row r="504" spans="1:7" x14ac:dyDescent="0.3">
      <c r="A504" s="25">
        <v>45370</v>
      </c>
      <c r="B504" s="13">
        <v>3052.7</v>
      </c>
      <c r="C504" s="13">
        <f>VLOOKUP(A:A,'Nifty 50 '!$A:$B,2,0)</f>
        <v>21817.45</v>
      </c>
      <c r="D504" s="13">
        <f t="shared" si="7"/>
        <v>-4.0955743796358836E-4</v>
      </c>
      <c r="E504" s="13">
        <f t="shared" si="7"/>
        <v>9.9183292197013414E-4</v>
      </c>
      <c r="G504" s="4"/>
    </row>
    <row r="505" spans="1:7" x14ac:dyDescent="0.3">
      <c r="A505" s="25">
        <v>45369</v>
      </c>
      <c r="B505" s="13">
        <v>3111.75</v>
      </c>
      <c r="C505" s="13">
        <f>VLOOKUP(A:A,'Nifty 50 '!$A:$B,2,0)</f>
        <v>22055.7</v>
      </c>
      <c r="D505" s="13">
        <f t="shared" si="7"/>
        <v>-1.9158823977052968E-2</v>
      </c>
      <c r="E505" s="13">
        <f t="shared" si="7"/>
        <v>-1.0860963573548457E-2</v>
      </c>
      <c r="G505" s="4"/>
    </row>
    <row r="506" spans="1:7" x14ac:dyDescent="0.3">
      <c r="A506" s="25">
        <v>45366</v>
      </c>
      <c r="B506" s="13">
        <v>3132.2</v>
      </c>
      <c r="C506" s="13">
        <f>VLOOKUP(A:A,'Nifty 50 '!$A:$B,2,0)</f>
        <v>22023.35</v>
      </c>
      <c r="D506" s="13">
        <f t="shared" si="7"/>
        <v>-6.5503641512464246E-3</v>
      </c>
      <c r="E506" s="13">
        <f t="shared" si="7"/>
        <v>1.4678177414507178E-3</v>
      </c>
      <c r="G506" s="4"/>
    </row>
    <row r="507" spans="1:7" x14ac:dyDescent="0.3">
      <c r="A507" s="25">
        <v>45365</v>
      </c>
      <c r="B507" s="13">
        <v>3087.45</v>
      </c>
      <c r="C507" s="13">
        <f>VLOOKUP(A:A,'Nifty 50 '!$A:$B,2,0)</f>
        <v>22146.65</v>
      </c>
      <c r="D507" s="13">
        <f t="shared" si="7"/>
        <v>1.4390125559214236E-2</v>
      </c>
      <c r="E507" s="13">
        <f t="shared" si="7"/>
        <v>-5.5829893714841473E-3</v>
      </c>
      <c r="G507" s="4"/>
    </row>
    <row r="508" spans="1:7" x14ac:dyDescent="0.3">
      <c r="A508" s="25">
        <v>45364</v>
      </c>
      <c r="B508" s="13">
        <v>2906.2</v>
      </c>
      <c r="C508" s="13">
        <f>VLOOKUP(A:A,'Nifty 50 '!$A:$B,2,0)</f>
        <v>21997.7</v>
      </c>
      <c r="D508" s="13">
        <f t="shared" si="7"/>
        <v>6.0499121586523659E-2</v>
      </c>
      <c r="E508" s="13">
        <f t="shared" si="7"/>
        <v>6.7483410794881684E-3</v>
      </c>
      <c r="G508" s="4"/>
    </row>
    <row r="509" spans="1:7" x14ac:dyDescent="0.3">
      <c r="A509" s="25">
        <v>45363</v>
      </c>
      <c r="B509" s="13">
        <v>3122.5</v>
      </c>
      <c r="C509" s="13">
        <f>VLOOKUP(A:A,'Nifty 50 '!$A:$B,2,0)</f>
        <v>22335.7</v>
      </c>
      <c r="D509" s="13">
        <f t="shared" si="7"/>
        <v>-7.1787577113137283E-2</v>
      </c>
      <c r="E509" s="13">
        <f t="shared" si="7"/>
        <v>-1.524839281915699E-2</v>
      </c>
      <c r="G509" s="4"/>
    </row>
    <row r="510" spans="1:7" x14ac:dyDescent="0.3">
      <c r="A510" s="25">
        <v>45362</v>
      </c>
      <c r="B510" s="13">
        <v>3207.35</v>
      </c>
      <c r="C510" s="13">
        <f>VLOOKUP(A:A,'Nifty 50 '!$A:$B,2,0)</f>
        <v>22332.65</v>
      </c>
      <c r="D510" s="13">
        <f t="shared" si="7"/>
        <v>-2.6811088002914867E-2</v>
      </c>
      <c r="E510" s="13">
        <f t="shared" si="7"/>
        <v>1.3656201783766265E-4</v>
      </c>
      <c r="G510" s="4"/>
    </row>
    <row r="511" spans="1:7" x14ac:dyDescent="0.3">
      <c r="A511" s="25">
        <v>45358</v>
      </c>
      <c r="B511" s="13">
        <v>3226.55</v>
      </c>
      <c r="C511" s="13">
        <f>VLOOKUP(A:A,'Nifty 50 '!$A:$B,2,0)</f>
        <v>22493.55</v>
      </c>
      <c r="D511" s="13">
        <f t="shared" si="7"/>
        <v>-5.9684039213910934E-3</v>
      </c>
      <c r="E511" s="13">
        <f t="shared" si="7"/>
        <v>-7.1788682071318097E-3</v>
      </c>
      <c r="G511" s="4"/>
    </row>
    <row r="512" spans="1:7" x14ac:dyDescent="0.3">
      <c r="A512" s="25">
        <v>45357</v>
      </c>
      <c r="B512" s="13">
        <v>3233.95</v>
      </c>
      <c r="C512" s="13">
        <f>VLOOKUP(A:A,'Nifty 50 '!$A:$B,2,0)</f>
        <v>22474.05</v>
      </c>
      <c r="D512" s="13">
        <f t="shared" si="7"/>
        <v>-2.2908453637485952E-3</v>
      </c>
      <c r="E512" s="13">
        <f t="shared" si="7"/>
        <v>8.6729117063467345E-4</v>
      </c>
      <c r="G512" s="4"/>
    </row>
    <row r="513" spans="1:7" x14ac:dyDescent="0.3">
      <c r="A513" s="25">
        <v>45356</v>
      </c>
      <c r="B513" s="13">
        <v>3310.2</v>
      </c>
      <c r="C513" s="13">
        <f>VLOOKUP(A:A,'Nifty 50 '!$A:$B,2,0)</f>
        <v>22356.3</v>
      </c>
      <c r="D513" s="13">
        <f t="shared" si="7"/>
        <v>-2.330431021865273E-2</v>
      </c>
      <c r="E513" s="13">
        <f t="shared" si="7"/>
        <v>5.2531497425974778E-3</v>
      </c>
      <c r="G513" s="4"/>
    </row>
    <row r="514" spans="1:7" x14ac:dyDescent="0.3">
      <c r="A514" s="25">
        <v>45355</v>
      </c>
      <c r="B514" s="13">
        <v>3317.15</v>
      </c>
      <c r="C514" s="13">
        <f>VLOOKUP(A:A,'Nifty 50 '!$A:$B,2,0)</f>
        <v>22405.599999999999</v>
      </c>
      <c r="D514" s="13">
        <f t="shared" si="7"/>
        <v>-2.0973700039176413E-3</v>
      </c>
      <c r="E514" s="13">
        <f t="shared" si="7"/>
        <v>-2.202767082468908E-3</v>
      </c>
      <c r="G514" s="4"/>
    </row>
    <row r="515" spans="1:7" x14ac:dyDescent="0.3">
      <c r="A515" s="25">
        <v>45353</v>
      </c>
      <c r="B515" s="13">
        <v>3332.5</v>
      </c>
      <c r="C515" s="13">
        <f>VLOOKUP(A:A,'Nifty 50 '!$A:$B,2,0)</f>
        <v>22378.400000000001</v>
      </c>
      <c r="D515" s="13">
        <f t="shared" si="7"/>
        <v>-4.6167925425061171E-3</v>
      </c>
      <c r="E515" s="13">
        <f t="shared" si="7"/>
        <v>1.2147196920581206E-3</v>
      </c>
      <c r="G515" s="4"/>
    </row>
    <row r="516" spans="1:7" x14ac:dyDescent="0.3">
      <c r="A516" s="25">
        <v>45352</v>
      </c>
      <c r="B516" s="13">
        <v>3318.75</v>
      </c>
      <c r="C516" s="13">
        <f>VLOOKUP(A:A,'Nifty 50 '!$A:$B,2,0)</f>
        <v>22338.75</v>
      </c>
      <c r="D516" s="13">
        <f t="shared" ref="D516:E579" si="8">LN(B515/B516)</f>
        <v>4.1345670626146813E-3</v>
      </c>
      <c r="E516" s="13">
        <f t="shared" si="8"/>
        <v>1.7733692952736234E-3</v>
      </c>
      <c r="G516" s="4"/>
    </row>
    <row r="517" spans="1:7" x14ac:dyDescent="0.3">
      <c r="A517" s="25">
        <v>45351</v>
      </c>
      <c r="B517" s="13">
        <v>3285.4</v>
      </c>
      <c r="C517" s="13">
        <f>VLOOKUP(A:A,'Nifty 50 '!$A:$B,2,0)</f>
        <v>21982.799999999999</v>
      </c>
      <c r="D517" s="13">
        <f t="shared" si="8"/>
        <v>1.0099795883149496E-2</v>
      </c>
      <c r="E517" s="13">
        <f t="shared" si="8"/>
        <v>1.6062509231593233E-2</v>
      </c>
      <c r="G517" s="4"/>
    </row>
    <row r="518" spans="1:7" x14ac:dyDescent="0.3">
      <c r="A518" s="25">
        <v>45350</v>
      </c>
      <c r="B518" s="13">
        <v>3219</v>
      </c>
      <c r="C518" s="13">
        <f>VLOOKUP(A:A,'Nifty 50 '!$A:$B,2,0)</f>
        <v>21951.15</v>
      </c>
      <c r="D518" s="13">
        <f t="shared" si="8"/>
        <v>2.0417657808291405E-2</v>
      </c>
      <c r="E518" s="13">
        <f t="shared" si="8"/>
        <v>1.4407994489542065E-3</v>
      </c>
      <c r="G518" s="4"/>
    </row>
    <row r="519" spans="1:7" x14ac:dyDescent="0.3">
      <c r="A519" s="25">
        <v>45349</v>
      </c>
      <c r="B519" s="13">
        <v>3302.3</v>
      </c>
      <c r="C519" s="13">
        <f>VLOOKUP(A:A,'Nifty 50 '!$A:$B,2,0)</f>
        <v>22198.35</v>
      </c>
      <c r="D519" s="13">
        <f t="shared" si="8"/>
        <v>-2.5548443082149833E-2</v>
      </c>
      <c r="E519" s="13">
        <f t="shared" si="8"/>
        <v>-1.1198431843397458E-2</v>
      </c>
      <c r="G519" s="4"/>
    </row>
    <row r="520" spans="1:7" x14ac:dyDescent="0.3">
      <c r="A520" s="25">
        <v>45348</v>
      </c>
      <c r="B520" s="13">
        <v>3327.75</v>
      </c>
      <c r="C520" s="13">
        <f>VLOOKUP(A:A,'Nifty 50 '!$A:$B,2,0)</f>
        <v>22122.05</v>
      </c>
      <c r="D520" s="13">
        <f t="shared" si="8"/>
        <v>-7.677204546170489E-3</v>
      </c>
      <c r="E520" s="13">
        <f t="shared" si="8"/>
        <v>3.4431131207391997E-3</v>
      </c>
      <c r="G520" s="4"/>
    </row>
    <row r="521" spans="1:7" x14ac:dyDescent="0.3">
      <c r="A521" s="25">
        <v>45345</v>
      </c>
      <c r="B521" s="13">
        <v>3273.3</v>
      </c>
      <c r="C521" s="13">
        <f>VLOOKUP(A:A,'Nifty 50 '!$A:$B,2,0)</f>
        <v>22212.7</v>
      </c>
      <c r="D521" s="13">
        <f t="shared" si="8"/>
        <v>1.6497749597965693E-2</v>
      </c>
      <c r="E521" s="13">
        <f t="shared" si="8"/>
        <v>-4.0893487084771958E-3</v>
      </c>
      <c r="G521" s="4"/>
    </row>
    <row r="522" spans="1:7" x14ac:dyDescent="0.3">
      <c r="A522" s="25">
        <v>45344</v>
      </c>
      <c r="B522" s="13">
        <v>3263.05</v>
      </c>
      <c r="C522" s="13">
        <f>VLOOKUP(A:A,'Nifty 50 '!$A:$B,2,0)</f>
        <v>22217.45</v>
      </c>
      <c r="D522" s="13">
        <f t="shared" si="8"/>
        <v>3.1363095311467272E-3</v>
      </c>
      <c r="E522" s="13">
        <f t="shared" si="8"/>
        <v>-2.1381877027633613E-4</v>
      </c>
      <c r="G522" s="4"/>
    </row>
    <row r="523" spans="1:7" x14ac:dyDescent="0.3">
      <c r="A523" s="25">
        <v>45343</v>
      </c>
      <c r="B523" s="13">
        <v>3223.2</v>
      </c>
      <c r="C523" s="13">
        <f>VLOOKUP(A:A,'Nifty 50 '!$A:$B,2,0)</f>
        <v>22055.05</v>
      </c>
      <c r="D523" s="13">
        <f t="shared" si="8"/>
        <v>1.2287685920878479E-2</v>
      </c>
      <c r="E523" s="13">
        <f t="shared" si="8"/>
        <v>7.3364155357774361E-3</v>
      </c>
      <c r="G523" s="4"/>
    </row>
    <row r="524" spans="1:7" x14ac:dyDescent="0.3">
      <c r="A524" s="25">
        <v>45342</v>
      </c>
      <c r="B524" s="13">
        <v>3228.6</v>
      </c>
      <c r="C524" s="13">
        <f>VLOOKUP(A:A,'Nifty 50 '!$A:$B,2,0)</f>
        <v>22196.95</v>
      </c>
      <c r="D524" s="13">
        <f t="shared" si="8"/>
        <v>-1.6739518462914411E-3</v>
      </c>
      <c r="E524" s="13">
        <f t="shared" si="8"/>
        <v>-6.4132914383778911E-3</v>
      </c>
      <c r="G524" s="4"/>
    </row>
    <row r="525" spans="1:7" x14ac:dyDescent="0.3">
      <c r="A525" s="25">
        <v>45341</v>
      </c>
      <c r="B525" s="13">
        <v>3258.8</v>
      </c>
      <c r="C525" s="13">
        <f>VLOOKUP(A:A,'Nifty 50 '!$A:$B,2,0)</f>
        <v>22122.25</v>
      </c>
      <c r="D525" s="13">
        <f t="shared" si="8"/>
        <v>-9.3104227130577765E-3</v>
      </c>
      <c r="E525" s="13">
        <f t="shared" si="8"/>
        <v>3.3710026687649355E-3</v>
      </c>
      <c r="G525" s="4"/>
    </row>
    <row r="526" spans="1:7" x14ac:dyDescent="0.3">
      <c r="A526" s="25">
        <v>45338</v>
      </c>
      <c r="B526" s="13">
        <v>3223.6</v>
      </c>
      <c r="C526" s="13">
        <f>VLOOKUP(A:A,'Nifty 50 '!$A:$B,2,0)</f>
        <v>22040.7</v>
      </c>
      <c r="D526" s="13">
        <f t="shared" si="8"/>
        <v>1.0860281986130522E-2</v>
      </c>
      <c r="E526" s="13">
        <f t="shared" si="8"/>
        <v>3.6931451676362253E-3</v>
      </c>
      <c r="G526" s="4"/>
    </row>
    <row r="527" spans="1:7" x14ac:dyDescent="0.3">
      <c r="A527" s="25">
        <v>45337</v>
      </c>
      <c r="B527" s="13">
        <v>3193.8</v>
      </c>
      <c r="C527" s="13">
        <f>VLOOKUP(A:A,'Nifty 50 '!$A:$B,2,0)</f>
        <v>21910.75</v>
      </c>
      <c r="D527" s="13">
        <f t="shared" si="8"/>
        <v>9.2873170435894166E-3</v>
      </c>
      <c r="E527" s="13">
        <f t="shared" si="8"/>
        <v>5.9133602496496528E-3</v>
      </c>
      <c r="G527" s="4"/>
    </row>
    <row r="528" spans="1:7" x14ac:dyDescent="0.3">
      <c r="A528" s="25">
        <v>45336</v>
      </c>
      <c r="B528" s="13">
        <v>3207.2</v>
      </c>
      <c r="C528" s="13">
        <f>VLOOKUP(A:A,'Nifty 50 '!$A:$B,2,0)</f>
        <v>21840.05</v>
      </c>
      <c r="D528" s="13">
        <f t="shared" si="8"/>
        <v>-4.1868519215303946E-3</v>
      </c>
      <c r="E528" s="13">
        <f t="shared" si="8"/>
        <v>3.2319437149108312E-3</v>
      </c>
      <c r="G528" s="4"/>
    </row>
    <row r="529" spans="1:7" x14ac:dyDescent="0.3">
      <c r="A529" s="25">
        <v>45335</v>
      </c>
      <c r="B529" s="13">
        <v>3178.45</v>
      </c>
      <c r="C529" s="13">
        <f>VLOOKUP(A:A,'Nifty 50 '!$A:$B,2,0)</f>
        <v>21743.25</v>
      </c>
      <c r="D529" s="13">
        <f t="shared" si="8"/>
        <v>9.0046257661397303E-3</v>
      </c>
      <c r="E529" s="13">
        <f t="shared" si="8"/>
        <v>4.4420757111879932E-3</v>
      </c>
      <c r="G529" s="4"/>
    </row>
    <row r="530" spans="1:7" x14ac:dyDescent="0.3">
      <c r="A530" s="25">
        <v>45334</v>
      </c>
      <c r="B530" s="13">
        <v>3169.75</v>
      </c>
      <c r="C530" s="13">
        <f>VLOOKUP(A:A,'Nifty 50 '!$A:$B,2,0)</f>
        <v>21616.05</v>
      </c>
      <c r="D530" s="13">
        <f t="shared" si="8"/>
        <v>2.7409361541000142E-3</v>
      </c>
      <c r="E530" s="13">
        <f t="shared" si="8"/>
        <v>5.8672702236109882E-3</v>
      </c>
      <c r="G530" s="4"/>
    </row>
    <row r="531" spans="1:7" x14ac:dyDescent="0.3">
      <c r="A531" s="25">
        <v>45331</v>
      </c>
      <c r="B531" s="13">
        <v>3215.2</v>
      </c>
      <c r="C531" s="13">
        <f>VLOOKUP(A:A,'Nifty 50 '!$A:$B,2,0)</f>
        <v>21782.5</v>
      </c>
      <c r="D531" s="13">
        <f t="shared" si="8"/>
        <v>-1.423684372693388E-2</v>
      </c>
      <c r="E531" s="13">
        <f t="shared" si="8"/>
        <v>-7.6708008067306686E-3</v>
      </c>
      <c r="G531" s="4"/>
    </row>
    <row r="532" spans="1:7" x14ac:dyDescent="0.3">
      <c r="A532" s="25">
        <v>45330</v>
      </c>
      <c r="B532" s="13">
        <v>3168.6</v>
      </c>
      <c r="C532" s="13">
        <f>VLOOKUP(A:A,'Nifty 50 '!$A:$B,2,0)</f>
        <v>21717.95</v>
      </c>
      <c r="D532" s="13">
        <f t="shared" si="8"/>
        <v>1.4599714194048766E-2</v>
      </c>
      <c r="E532" s="13">
        <f t="shared" si="8"/>
        <v>2.9677875690214571E-3</v>
      </c>
      <c r="G532" s="4"/>
    </row>
    <row r="533" spans="1:7" x14ac:dyDescent="0.3">
      <c r="A533" s="25">
        <v>45329</v>
      </c>
      <c r="B533" s="13">
        <v>3229.85</v>
      </c>
      <c r="C533" s="13">
        <f>VLOOKUP(A:A,'Nifty 50 '!$A:$B,2,0)</f>
        <v>21930.5</v>
      </c>
      <c r="D533" s="13">
        <f t="shared" si="8"/>
        <v>-1.9145846568923788E-2</v>
      </c>
      <c r="E533" s="13">
        <f t="shared" si="8"/>
        <v>-9.7392544332029034E-3</v>
      </c>
      <c r="G533" s="4"/>
    </row>
    <row r="534" spans="1:7" x14ac:dyDescent="0.3">
      <c r="A534" s="25">
        <v>45328</v>
      </c>
      <c r="B534" s="13">
        <v>3203.75</v>
      </c>
      <c r="C534" s="13">
        <f>VLOOKUP(A:A,'Nifty 50 '!$A:$B,2,0)</f>
        <v>21929.4</v>
      </c>
      <c r="D534" s="13">
        <f t="shared" si="8"/>
        <v>8.1136978315855118E-3</v>
      </c>
      <c r="E534" s="13">
        <f t="shared" si="8"/>
        <v>5.0159713096876929E-5</v>
      </c>
      <c r="G534" s="4"/>
    </row>
    <row r="535" spans="1:7" x14ac:dyDescent="0.3">
      <c r="A535" s="25">
        <v>45327</v>
      </c>
      <c r="B535" s="13">
        <v>3173.45</v>
      </c>
      <c r="C535" s="13">
        <f>VLOOKUP(A:A,'Nifty 50 '!$A:$B,2,0)</f>
        <v>21771.7</v>
      </c>
      <c r="D535" s="13">
        <f t="shared" si="8"/>
        <v>9.5026745309024409E-3</v>
      </c>
      <c r="E535" s="13">
        <f t="shared" si="8"/>
        <v>7.2172409632705048E-3</v>
      </c>
      <c r="G535" s="4"/>
    </row>
    <row r="536" spans="1:7" x14ac:dyDescent="0.3">
      <c r="A536" s="25">
        <v>45324</v>
      </c>
      <c r="B536" s="13">
        <v>3157.45</v>
      </c>
      <c r="C536" s="13">
        <f>VLOOKUP(A:A,'Nifty 50 '!$A:$B,2,0)</f>
        <v>21853.8</v>
      </c>
      <c r="D536" s="13">
        <f t="shared" si="8"/>
        <v>5.0545843608595792E-3</v>
      </c>
      <c r="E536" s="13">
        <f t="shared" si="8"/>
        <v>-3.7638581528382955E-3</v>
      </c>
      <c r="G536" s="4"/>
    </row>
    <row r="537" spans="1:7" x14ac:dyDescent="0.3">
      <c r="A537" s="25">
        <v>45323</v>
      </c>
      <c r="B537" s="13">
        <v>3153.5</v>
      </c>
      <c r="C537" s="13">
        <f>VLOOKUP(A:A,'Nifty 50 '!$A:$B,2,0)</f>
        <v>21697.45</v>
      </c>
      <c r="D537" s="13">
        <f t="shared" si="8"/>
        <v>1.2517926828129568E-3</v>
      </c>
      <c r="E537" s="13">
        <f t="shared" si="8"/>
        <v>7.18007734330033E-3</v>
      </c>
      <c r="G537" s="4"/>
    </row>
    <row r="538" spans="1:7" x14ac:dyDescent="0.3">
      <c r="A538" s="25">
        <v>45322</v>
      </c>
      <c r="B538" s="13">
        <v>3142</v>
      </c>
      <c r="C538" s="13">
        <f>VLOOKUP(A:A,'Nifty 50 '!$A:$B,2,0)</f>
        <v>21725.7</v>
      </c>
      <c r="D538" s="13">
        <f t="shared" si="8"/>
        <v>3.653407288139409E-3</v>
      </c>
      <c r="E538" s="13">
        <f t="shared" si="8"/>
        <v>-1.3011494553287434E-3</v>
      </c>
      <c r="G538" s="4"/>
    </row>
    <row r="539" spans="1:7" x14ac:dyDescent="0.3">
      <c r="A539" s="25">
        <v>45321</v>
      </c>
      <c r="B539" s="13">
        <v>3091.1</v>
      </c>
      <c r="C539" s="13">
        <f>VLOOKUP(A:A,'Nifty 50 '!$A:$B,2,0)</f>
        <v>21522.1</v>
      </c>
      <c r="D539" s="13">
        <f t="shared" si="8"/>
        <v>1.6332525217117227E-2</v>
      </c>
      <c r="E539" s="13">
        <f t="shared" si="8"/>
        <v>9.415577400253396E-3</v>
      </c>
      <c r="G539" s="4"/>
    </row>
    <row r="540" spans="1:7" x14ac:dyDescent="0.3">
      <c r="A540" s="25">
        <v>45320</v>
      </c>
      <c r="B540" s="13">
        <v>3064.65</v>
      </c>
      <c r="C540" s="13">
        <f>VLOOKUP(A:A,'Nifty 50 '!$A:$B,2,0)</f>
        <v>21737.599999999999</v>
      </c>
      <c r="D540" s="13">
        <f t="shared" si="8"/>
        <v>8.5936442445186563E-3</v>
      </c>
      <c r="E540" s="13">
        <f t="shared" si="8"/>
        <v>-9.9631658391133322E-3</v>
      </c>
      <c r="G540" s="4"/>
    </row>
    <row r="541" spans="1:7" x14ac:dyDescent="0.3">
      <c r="A541" s="25">
        <v>45316</v>
      </c>
      <c r="B541" s="13">
        <v>2893.6</v>
      </c>
      <c r="C541" s="13">
        <f>VLOOKUP(A:A,'Nifty 50 '!$A:$B,2,0)</f>
        <v>21352.6</v>
      </c>
      <c r="D541" s="13">
        <f t="shared" si="8"/>
        <v>5.7431968716042503E-2</v>
      </c>
      <c r="E541" s="13">
        <f t="shared" si="8"/>
        <v>1.7869967895292525E-2</v>
      </c>
      <c r="G541" s="4"/>
    </row>
    <row r="542" spans="1:7" x14ac:dyDescent="0.3">
      <c r="A542" s="25">
        <v>45315</v>
      </c>
      <c r="B542" s="13">
        <v>2903.45</v>
      </c>
      <c r="C542" s="13">
        <f>VLOOKUP(A:A,'Nifty 50 '!$A:$B,2,0)</f>
        <v>21453.95</v>
      </c>
      <c r="D542" s="13">
        <f t="shared" si="8"/>
        <v>-3.3982834301075761E-3</v>
      </c>
      <c r="E542" s="13">
        <f t="shared" si="8"/>
        <v>-4.7352654852423287E-3</v>
      </c>
      <c r="G542" s="4"/>
    </row>
    <row r="543" spans="1:7" x14ac:dyDescent="0.3">
      <c r="A543" s="25">
        <v>45314</v>
      </c>
      <c r="B543" s="13">
        <v>2896.55</v>
      </c>
      <c r="C543" s="13">
        <f>VLOOKUP(A:A,'Nifty 50 '!$A:$B,2,0)</f>
        <v>21238.799999999999</v>
      </c>
      <c r="D543" s="13">
        <f t="shared" si="8"/>
        <v>2.3793114672914198E-3</v>
      </c>
      <c r="E543" s="13">
        <f t="shared" si="8"/>
        <v>1.0079080002224091E-2</v>
      </c>
      <c r="G543" s="4"/>
    </row>
    <row r="544" spans="1:7" x14ac:dyDescent="0.3">
      <c r="A544" s="25">
        <v>45311</v>
      </c>
      <c r="B544" s="13">
        <v>2987.9</v>
      </c>
      <c r="C544" s="13">
        <f>VLOOKUP(A:A,'Nifty 50 '!$A:$B,2,0)</f>
        <v>21571.8</v>
      </c>
      <c r="D544" s="13">
        <f t="shared" si="8"/>
        <v>-3.1050425889822462E-2</v>
      </c>
      <c r="E544" s="13">
        <f t="shared" si="8"/>
        <v>-1.5557208551848641E-2</v>
      </c>
      <c r="G544" s="4"/>
    </row>
    <row r="545" spans="1:7" x14ac:dyDescent="0.3">
      <c r="A545" s="25">
        <v>45310</v>
      </c>
      <c r="B545" s="13">
        <v>2915.65</v>
      </c>
      <c r="C545" s="13">
        <f>VLOOKUP(A:A,'Nifty 50 '!$A:$B,2,0)</f>
        <v>21622.400000000001</v>
      </c>
      <c r="D545" s="13">
        <f t="shared" si="8"/>
        <v>2.4478020000689247E-2</v>
      </c>
      <c r="E545" s="13">
        <f t="shared" si="8"/>
        <v>-2.3429082212985306E-3</v>
      </c>
      <c r="G545" s="4"/>
    </row>
    <row r="546" spans="1:7" x14ac:dyDescent="0.3">
      <c r="A546" s="25">
        <v>45309</v>
      </c>
      <c r="B546" s="13">
        <v>2918.9</v>
      </c>
      <c r="C546" s="13">
        <f>VLOOKUP(A:A,'Nifty 50 '!$A:$B,2,0)</f>
        <v>21462.25</v>
      </c>
      <c r="D546" s="13">
        <f t="shared" si="8"/>
        <v>-1.1140534698084379E-3</v>
      </c>
      <c r="E546" s="13">
        <f t="shared" si="8"/>
        <v>7.4342364436114933E-3</v>
      </c>
      <c r="G546" s="4"/>
    </row>
    <row r="547" spans="1:7" x14ac:dyDescent="0.3">
      <c r="A547" s="25">
        <v>45308</v>
      </c>
      <c r="B547" s="13">
        <v>2971.05</v>
      </c>
      <c r="C547" s="13">
        <f>VLOOKUP(A:A,'Nifty 50 '!$A:$B,2,0)</f>
        <v>21571.95</v>
      </c>
      <c r="D547" s="13">
        <f t="shared" si="8"/>
        <v>-1.7708592711736842E-2</v>
      </c>
      <c r="E547" s="13">
        <f t="shared" si="8"/>
        <v>-5.0982817207920056E-3</v>
      </c>
      <c r="G547" s="4"/>
    </row>
    <row r="548" spans="1:7" x14ac:dyDescent="0.3">
      <c r="A548" s="25">
        <v>45307</v>
      </c>
      <c r="B548" s="13">
        <v>3056.5</v>
      </c>
      <c r="C548" s="13">
        <f>VLOOKUP(A:A,'Nifty 50 '!$A:$B,2,0)</f>
        <v>22032.3</v>
      </c>
      <c r="D548" s="13">
        <f t="shared" si="8"/>
        <v>-2.8355044797397186E-2</v>
      </c>
      <c r="E548" s="13">
        <f t="shared" si="8"/>
        <v>-2.1115698798429821E-2</v>
      </c>
      <c r="G548" s="4"/>
    </row>
    <row r="549" spans="1:7" x14ac:dyDescent="0.3">
      <c r="A549" s="25">
        <v>45306</v>
      </c>
      <c r="B549" s="13">
        <v>3089.5</v>
      </c>
      <c r="C549" s="13">
        <f>VLOOKUP(A:A,'Nifty 50 '!$A:$B,2,0)</f>
        <v>22097.45</v>
      </c>
      <c r="D549" s="13">
        <f t="shared" si="8"/>
        <v>-1.0738795032254179E-2</v>
      </c>
      <c r="E549" s="13">
        <f t="shared" si="8"/>
        <v>-2.9526587996769691E-3</v>
      </c>
      <c r="G549" s="4"/>
    </row>
    <row r="550" spans="1:7" x14ac:dyDescent="0.3">
      <c r="A550" s="25">
        <v>45303</v>
      </c>
      <c r="B550" s="13">
        <v>3104.1</v>
      </c>
      <c r="C550" s="13">
        <f>VLOOKUP(A:A,'Nifty 50 '!$A:$B,2,0)</f>
        <v>21894.55</v>
      </c>
      <c r="D550" s="13">
        <f t="shared" si="8"/>
        <v>-4.7145527779803714E-3</v>
      </c>
      <c r="E550" s="13">
        <f t="shared" si="8"/>
        <v>9.2244698464408817E-3</v>
      </c>
      <c r="G550" s="4"/>
    </row>
    <row r="551" spans="1:7" x14ac:dyDescent="0.3">
      <c r="A551" s="25">
        <v>45302</v>
      </c>
      <c r="B551" s="13">
        <v>3080.9</v>
      </c>
      <c r="C551" s="13">
        <f>VLOOKUP(A:A,'Nifty 50 '!$A:$B,2,0)</f>
        <v>21647.200000000001</v>
      </c>
      <c r="D551" s="13">
        <f t="shared" si="8"/>
        <v>7.5020562035686333E-3</v>
      </c>
      <c r="E551" s="13">
        <f t="shared" si="8"/>
        <v>1.1361631573985989E-2</v>
      </c>
      <c r="G551" s="4"/>
    </row>
    <row r="552" spans="1:7" x14ac:dyDescent="0.3">
      <c r="A552" s="25">
        <v>45301</v>
      </c>
      <c r="B552" s="13">
        <v>3098.2</v>
      </c>
      <c r="C552" s="13">
        <f>VLOOKUP(A:A,'Nifty 50 '!$A:$B,2,0)</f>
        <v>21618.7</v>
      </c>
      <c r="D552" s="13">
        <f t="shared" si="8"/>
        <v>-5.5995355968165772E-3</v>
      </c>
      <c r="E552" s="13">
        <f t="shared" si="8"/>
        <v>1.3174349370812008E-3</v>
      </c>
      <c r="G552" s="4"/>
    </row>
    <row r="553" spans="1:7" x14ac:dyDescent="0.3">
      <c r="A553" s="25">
        <v>45300</v>
      </c>
      <c r="B553" s="13">
        <v>3014.6</v>
      </c>
      <c r="C553" s="13">
        <f>VLOOKUP(A:A,'Nifty 50 '!$A:$B,2,0)</f>
        <v>21544.85</v>
      </c>
      <c r="D553" s="13">
        <f t="shared" si="8"/>
        <v>2.735414629583378E-2</v>
      </c>
      <c r="E553" s="13">
        <f t="shared" si="8"/>
        <v>3.4218720221299791E-3</v>
      </c>
      <c r="G553" s="4"/>
    </row>
    <row r="554" spans="1:7" x14ac:dyDescent="0.3">
      <c r="A554" s="25">
        <v>45299</v>
      </c>
      <c r="B554" s="13">
        <v>2963.5</v>
      </c>
      <c r="C554" s="13">
        <f>VLOOKUP(A:A,'Nifty 50 '!$A:$B,2,0)</f>
        <v>21513</v>
      </c>
      <c r="D554" s="13">
        <f t="shared" si="8"/>
        <v>1.7096149148535987E-2</v>
      </c>
      <c r="E554" s="13">
        <f t="shared" si="8"/>
        <v>1.4794053028200293E-3</v>
      </c>
      <c r="G554" s="4"/>
    </row>
    <row r="555" spans="1:7" x14ac:dyDescent="0.3">
      <c r="A555" s="25">
        <v>45296</v>
      </c>
      <c r="B555" s="13">
        <v>3006.6</v>
      </c>
      <c r="C555" s="13">
        <f>VLOOKUP(A:A,'Nifty 50 '!$A:$B,2,0)</f>
        <v>21710.799999999999</v>
      </c>
      <c r="D555" s="13">
        <f t="shared" si="8"/>
        <v>-1.4438869965841095E-2</v>
      </c>
      <c r="E555" s="13">
        <f t="shared" si="8"/>
        <v>-9.1524290208980594E-3</v>
      </c>
      <c r="G555" s="4"/>
    </row>
    <row r="556" spans="1:7" x14ac:dyDescent="0.3">
      <c r="A556" s="25">
        <v>45295</v>
      </c>
      <c r="B556" s="13">
        <v>2998.3</v>
      </c>
      <c r="C556" s="13">
        <f>VLOOKUP(A:A,'Nifty 50 '!$A:$B,2,0)</f>
        <v>21658.6</v>
      </c>
      <c r="D556" s="13">
        <f t="shared" si="8"/>
        <v>2.7644108263895598E-3</v>
      </c>
      <c r="E556" s="13">
        <f t="shared" si="8"/>
        <v>2.4072283779417876E-3</v>
      </c>
      <c r="G556" s="4"/>
    </row>
    <row r="557" spans="1:7" x14ac:dyDescent="0.3">
      <c r="A557" s="25">
        <v>45294</v>
      </c>
      <c r="B557" s="13">
        <v>3003</v>
      </c>
      <c r="C557" s="13">
        <f>VLOOKUP(A:A,'Nifty 50 '!$A:$B,2,0)</f>
        <v>21517.35</v>
      </c>
      <c r="D557" s="13">
        <f t="shared" si="8"/>
        <v>-1.5663276159857797E-3</v>
      </c>
      <c r="E557" s="13">
        <f t="shared" si="8"/>
        <v>6.5430177643685588E-3</v>
      </c>
      <c r="G557" s="4"/>
    </row>
    <row r="558" spans="1:7" x14ac:dyDescent="0.3">
      <c r="A558" s="25">
        <v>45293</v>
      </c>
      <c r="B558" s="13">
        <v>2932.4</v>
      </c>
      <c r="C558" s="13">
        <f>VLOOKUP(A:A,'Nifty 50 '!$A:$B,2,0)</f>
        <v>21665.8</v>
      </c>
      <c r="D558" s="13">
        <f t="shared" si="8"/>
        <v>2.3790588633898657E-2</v>
      </c>
      <c r="E558" s="13">
        <f t="shared" si="8"/>
        <v>-6.8753939803709255E-3</v>
      </c>
      <c r="G558" s="4"/>
    </row>
    <row r="559" spans="1:7" x14ac:dyDescent="0.3">
      <c r="A559" s="25">
        <v>45292</v>
      </c>
      <c r="B559" s="13">
        <v>2917.2</v>
      </c>
      <c r="C559" s="13">
        <f>VLOOKUP(A:A,'Nifty 50 '!$A:$B,2,0)</f>
        <v>21741.9</v>
      </c>
      <c r="D559" s="13">
        <f t="shared" si="8"/>
        <v>5.1969482393536921E-3</v>
      </c>
      <c r="E559" s="13">
        <f t="shared" si="8"/>
        <v>-3.5062939508453059E-3</v>
      </c>
      <c r="G559" s="4"/>
    </row>
    <row r="560" spans="1:7" x14ac:dyDescent="0.3">
      <c r="A560" s="25">
        <v>45289</v>
      </c>
      <c r="B560" s="13">
        <v>2848.95</v>
      </c>
      <c r="C560" s="13">
        <f>VLOOKUP(A:A,'Nifty 50 '!$A:$B,2,0)</f>
        <v>21731.4</v>
      </c>
      <c r="D560" s="13">
        <f t="shared" si="8"/>
        <v>2.3673746783723002E-2</v>
      </c>
      <c r="E560" s="13">
        <f t="shared" si="8"/>
        <v>4.8305512598190972E-4</v>
      </c>
      <c r="G560" s="4"/>
    </row>
    <row r="561" spans="1:7" x14ac:dyDescent="0.3">
      <c r="A561" s="25">
        <v>45288</v>
      </c>
      <c r="B561" s="13">
        <v>2809.9</v>
      </c>
      <c r="C561" s="13">
        <f>VLOOKUP(A:A,'Nifty 50 '!$A:$B,2,0)</f>
        <v>21778.7</v>
      </c>
      <c r="D561" s="13">
        <f t="shared" si="8"/>
        <v>1.3801609820414553E-2</v>
      </c>
      <c r="E561" s="13">
        <f t="shared" si="8"/>
        <v>-2.1742086840976452E-3</v>
      </c>
      <c r="G561" s="4"/>
    </row>
    <row r="562" spans="1:7" x14ac:dyDescent="0.3">
      <c r="A562" s="25">
        <v>45287</v>
      </c>
      <c r="B562" s="13">
        <v>2843.35</v>
      </c>
      <c r="C562" s="13">
        <f>VLOOKUP(A:A,'Nifty 50 '!$A:$B,2,0)</f>
        <v>21654.75</v>
      </c>
      <c r="D562" s="13">
        <f t="shared" si="8"/>
        <v>-1.1834038959207994E-2</v>
      </c>
      <c r="E562" s="13">
        <f t="shared" si="8"/>
        <v>5.7075980144208728E-3</v>
      </c>
      <c r="G562" s="4"/>
    </row>
    <row r="563" spans="1:7" x14ac:dyDescent="0.3">
      <c r="A563" s="25">
        <v>45286</v>
      </c>
      <c r="B563" s="13">
        <v>2865.45</v>
      </c>
      <c r="C563" s="13">
        <f>VLOOKUP(A:A,'Nifty 50 '!$A:$B,2,0)</f>
        <v>21441.35</v>
      </c>
      <c r="D563" s="13">
        <f t="shared" si="8"/>
        <v>-7.7424714126220033E-3</v>
      </c>
      <c r="E563" s="13">
        <f t="shared" si="8"/>
        <v>9.903529283836263E-3</v>
      </c>
      <c r="G563" s="4"/>
    </row>
    <row r="564" spans="1:7" x14ac:dyDescent="0.3">
      <c r="A564" s="25">
        <v>45282</v>
      </c>
      <c r="B564" s="13">
        <v>2808.35</v>
      </c>
      <c r="C564" s="13">
        <f>VLOOKUP(A:A,'Nifty 50 '!$A:$B,2,0)</f>
        <v>21349.4</v>
      </c>
      <c r="D564" s="13">
        <f t="shared" si="8"/>
        <v>2.0128283624827083E-2</v>
      </c>
      <c r="E564" s="13">
        <f t="shared" si="8"/>
        <v>4.2976644029708395E-3</v>
      </c>
      <c r="G564" s="4"/>
    </row>
    <row r="565" spans="1:7" x14ac:dyDescent="0.3">
      <c r="A565" s="25">
        <v>45281</v>
      </c>
      <c r="B565" s="13">
        <v>2799.75</v>
      </c>
      <c r="C565" s="13">
        <f>VLOOKUP(A:A,'Nifty 50 '!$A:$B,2,0)</f>
        <v>21255.05</v>
      </c>
      <c r="D565" s="13">
        <f t="shared" si="8"/>
        <v>3.0669947901402705E-3</v>
      </c>
      <c r="E565" s="13">
        <f t="shared" si="8"/>
        <v>4.4291220395791331E-3</v>
      </c>
      <c r="G565" s="4"/>
    </row>
    <row r="566" spans="1:7" x14ac:dyDescent="0.3">
      <c r="A566" s="25">
        <v>45280</v>
      </c>
      <c r="B566" s="13">
        <v>2783.85</v>
      </c>
      <c r="C566" s="13">
        <f>VLOOKUP(A:A,'Nifty 50 '!$A:$B,2,0)</f>
        <v>21150.15</v>
      </c>
      <c r="D566" s="13">
        <f t="shared" si="8"/>
        <v>5.6952657703796712E-3</v>
      </c>
      <c r="E566" s="13">
        <f t="shared" si="8"/>
        <v>4.9475165299410597E-3</v>
      </c>
      <c r="G566" s="4"/>
    </row>
    <row r="567" spans="1:7" x14ac:dyDescent="0.3">
      <c r="A567" s="25">
        <v>45279</v>
      </c>
      <c r="B567" s="13">
        <v>2941.25</v>
      </c>
      <c r="C567" s="13">
        <f>VLOOKUP(A:A,'Nifty 50 '!$A:$B,2,0)</f>
        <v>21453.1</v>
      </c>
      <c r="D567" s="13">
        <f t="shared" si="8"/>
        <v>-5.499979934914901E-2</v>
      </c>
      <c r="E567" s="13">
        <f t="shared" si="8"/>
        <v>-1.4222159410509942E-2</v>
      </c>
      <c r="G567" s="4"/>
    </row>
    <row r="568" spans="1:7" x14ac:dyDescent="0.3">
      <c r="A568" s="25">
        <v>45278</v>
      </c>
      <c r="B568" s="13">
        <v>2980.6</v>
      </c>
      <c r="C568" s="13">
        <f>VLOOKUP(A:A,'Nifty 50 '!$A:$B,2,0)</f>
        <v>21418.65</v>
      </c>
      <c r="D568" s="13">
        <f t="shared" si="8"/>
        <v>-1.3289961473120105E-2</v>
      </c>
      <c r="E568" s="13">
        <f t="shared" si="8"/>
        <v>1.6071192528823127E-3</v>
      </c>
      <c r="G568" s="4"/>
    </row>
    <row r="569" spans="1:7" x14ac:dyDescent="0.3">
      <c r="A569" s="25">
        <v>45275</v>
      </c>
      <c r="B569" s="13">
        <v>2991.8</v>
      </c>
      <c r="C569" s="13">
        <f>VLOOKUP(A:A,'Nifty 50 '!$A:$B,2,0)</f>
        <v>21456.65</v>
      </c>
      <c r="D569" s="13">
        <f t="shared" si="8"/>
        <v>-3.7505904256681958E-3</v>
      </c>
      <c r="E569" s="13">
        <f t="shared" si="8"/>
        <v>-1.7725828134065394E-3</v>
      </c>
      <c r="G569" s="4"/>
    </row>
    <row r="570" spans="1:7" x14ac:dyDescent="0.3">
      <c r="A570" s="25">
        <v>45274</v>
      </c>
      <c r="B570" s="13">
        <v>2894.05</v>
      </c>
      <c r="C570" s="13">
        <f>VLOOKUP(A:A,'Nifty 50 '!$A:$B,2,0)</f>
        <v>21182.7</v>
      </c>
      <c r="D570" s="13">
        <f t="shared" si="8"/>
        <v>3.321830777309287E-2</v>
      </c>
      <c r="E570" s="13">
        <f t="shared" si="8"/>
        <v>1.2849809834677589E-2</v>
      </c>
      <c r="G570" s="4"/>
    </row>
    <row r="571" spans="1:7" x14ac:dyDescent="0.3">
      <c r="A571" s="25">
        <v>45273</v>
      </c>
      <c r="B571" s="13">
        <v>2875.05</v>
      </c>
      <c r="C571" s="13">
        <f>VLOOKUP(A:A,'Nifty 50 '!$A:$B,2,0)</f>
        <v>20926.349999999999</v>
      </c>
      <c r="D571" s="13">
        <f t="shared" si="8"/>
        <v>6.5868397826961125E-3</v>
      </c>
      <c r="E571" s="13">
        <f t="shared" si="8"/>
        <v>1.2175680378580502E-2</v>
      </c>
      <c r="G571" s="4"/>
    </row>
    <row r="572" spans="1:7" x14ac:dyDescent="0.3">
      <c r="A572" s="25">
        <v>45272</v>
      </c>
      <c r="B572" s="13">
        <v>2857.65</v>
      </c>
      <c r="C572" s="13">
        <f>VLOOKUP(A:A,'Nifty 50 '!$A:$B,2,0)</f>
        <v>20906.400000000001</v>
      </c>
      <c r="D572" s="13">
        <f t="shared" si="8"/>
        <v>6.0704566550179992E-3</v>
      </c>
      <c r="E572" s="13">
        <f t="shared" si="8"/>
        <v>9.5379823284038147E-4</v>
      </c>
      <c r="G572" s="4"/>
    </row>
    <row r="573" spans="1:7" x14ac:dyDescent="0.3">
      <c r="A573" s="25">
        <v>45271</v>
      </c>
      <c r="B573" s="13">
        <v>2855.8</v>
      </c>
      <c r="C573" s="13">
        <f>VLOOKUP(A:A,'Nifty 50 '!$A:$B,2,0)</f>
        <v>20997.1</v>
      </c>
      <c r="D573" s="13">
        <f t="shared" si="8"/>
        <v>6.4759473335871244E-4</v>
      </c>
      <c r="E573" s="13">
        <f t="shared" si="8"/>
        <v>-4.3290007586474161E-3</v>
      </c>
      <c r="G573" s="4"/>
    </row>
    <row r="574" spans="1:7" x14ac:dyDescent="0.3">
      <c r="A574" s="25">
        <v>45268</v>
      </c>
      <c r="B574" s="13">
        <v>2822.15</v>
      </c>
      <c r="C574" s="13">
        <f>VLOOKUP(A:A,'Nifty 50 '!$A:$B,2,0)</f>
        <v>20969.400000000001</v>
      </c>
      <c r="D574" s="13">
        <f t="shared" si="8"/>
        <v>1.1853008204411182E-2</v>
      </c>
      <c r="E574" s="13">
        <f t="shared" si="8"/>
        <v>1.3201007481038823E-3</v>
      </c>
      <c r="G574" s="4"/>
    </row>
    <row r="575" spans="1:7" x14ac:dyDescent="0.3">
      <c r="A575" s="25">
        <v>45267</v>
      </c>
      <c r="B575" s="13">
        <v>2887.15</v>
      </c>
      <c r="C575" s="13">
        <f>VLOOKUP(A:A,'Nifty 50 '!$A:$B,2,0)</f>
        <v>20901.150000000001</v>
      </c>
      <c r="D575" s="13">
        <f t="shared" si="8"/>
        <v>-2.2770850570270253E-2</v>
      </c>
      <c r="E575" s="13">
        <f t="shared" si="8"/>
        <v>3.2600508207486305E-3</v>
      </c>
      <c r="G575" s="4"/>
    </row>
    <row r="576" spans="1:7" x14ac:dyDescent="0.3">
      <c r="A576" s="25">
        <v>45266</v>
      </c>
      <c r="B576" s="13">
        <v>2883.95</v>
      </c>
      <c r="C576" s="13">
        <f>VLOOKUP(A:A,'Nifty 50 '!$A:$B,2,0)</f>
        <v>20937.7</v>
      </c>
      <c r="D576" s="13">
        <f t="shared" si="8"/>
        <v>1.1089741394026578E-3</v>
      </c>
      <c r="E576" s="13">
        <f t="shared" si="8"/>
        <v>-1.7471803980189876E-3</v>
      </c>
      <c r="G576" s="4"/>
    </row>
    <row r="577" spans="1:7" x14ac:dyDescent="0.3">
      <c r="A577" s="25">
        <v>45265</v>
      </c>
      <c r="B577" s="13">
        <v>2959.35</v>
      </c>
      <c r="C577" s="13">
        <f>VLOOKUP(A:A,'Nifty 50 '!$A:$B,2,0)</f>
        <v>20855.099999999999</v>
      </c>
      <c r="D577" s="13">
        <f t="shared" si="8"/>
        <v>-2.5808767386436646E-2</v>
      </c>
      <c r="E577" s="13">
        <f t="shared" si="8"/>
        <v>3.9528391278700111E-3</v>
      </c>
      <c r="G577" s="4"/>
    </row>
    <row r="578" spans="1:7" x14ac:dyDescent="0.3">
      <c r="A578" s="25">
        <v>45264</v>
      </c>
      <c r="B578" s="13">
        <v>2531.1999999999998</v>
      </c>
      <c r="C578" s="13">
        <f>VLOOKUP(A:A,'Nifty 50 '!$A:$B,2,0)</f>
        <v>20686.8</v>
      </c>
      <c r="D578" s="13">
        <f t="shared" si="8"/>
        <v>0.15627615103575343</v>
      </c>
      <c r="E578" s="13">
        <f t="shared" si="8"/>
        <v>8.1027069438026102E-3</v>
      </c>
      <c r="G578" s="4"/>
    </row>
    <row r="579" spans="1:7" x14ac:dyDescent="0.3">
      <c r="A579" s="25">
        <v>45261</v>
      </c>
      <c r="B579" s="13">
        <v>2362.6999999999998</v>
      </c>
      <c r="C579" s="13">
        <f>VLOOKUP(A:A,'Nifty 50 '!$A:$B,2,0)</f>
        <v>20267.900000000001</v>
      </c>
      <c r="D579" s="13">
        <f t="shared" si="8"/>
        <v>6.8888465703905027E-2</v>
      </c>
      <c r="E579" s="13">
        <f t="shared" si="8"/>
        <v>2.0457461991232925E-2</v>
      </c>
      <c r="G579" s="4"/>
    </row>
    <row r="580" spans="1:7" x14ac:dyDescent="0.3">
      <c r="A580" s="25">
        <v>45260</v>
      </c>
      <c r="B580" s="13">
        <v>2358.5500000000002</v>
      </c>
      <c r="C580" s="13">
        <f>VLOOKUP(A:A,'Nifty 50 '!$A:$B,2,0)</f>
        <v>20133.150000000001</v>
      </c>
      <c r="D580" s="13">
        <f t="shared" ref="D580:E643" si="9">LN(B579/B580)</f>
        <v>1.7580094546278912E-3</v>
      </c>
      <c r="E580" s="13">
        <f t="shared" si="9"/>
        <v>6.6706434446280362E-3</v>
      </c>
      <c r="G580" s="4"/>
    </row>
    <row r="581" spans="1:7" x14ac:dyDescent="0.3">
      <c r="A581" s="25">
        <v>45259</v>
      </c>
      <c r="B581" s="13">
        <v>2396.6</v>
      </c>
      <c r="C581" s="13">
        <f>VLOOKUP(A:A,'Nifty 50 '!$A:$B,2,0)</f>
        <v>20096.599999999999</v>
      </c>
      <c r="D581" s="13">
        <f t="shared" si="9"/>
        <v>-1.6004042833614465E-2</v>
      </c>
      <c r="E581" s="13">
        <f t="shared" si="9"/>
        <v>1.8170637429511605E-3</v>
      </c>
      <c r="G581" s="4"/>
    </row>
    <row r="582" spans="1:7" x14ac:dyDescent="0.3">
      <c r="A582" s="25">
        <v>45258</v>
      </c>
      <c r="B582" s="13">
        <v>2423.5</v>
      </c>
      <c r="C582" s="13">
        <f>VLOOKUP(A:A,'Nifty 50 '!$A:$B,2,0)</f>
        <v>19889.7</v>
      </c>
      <c r="D582" s="13">
        <f t="shared" si="9"/>
        <v>-1.1161710037014464E-2</v>
      </c>
      <c r="E582" s="13">
        <f t="shared" si="9"/>
        <v>1.0348636732111694E-2</v>
      </c>
      <c r="G582" s="4"/>
    </row>
    <row r="583" spans="1:7" x14ac:dyDescent="0.3">
      <c r="A583" s="25">
        <v>45254</v>
      </c>
      <c r="B583" s="13">
        <v>2225.4499999999998</v>
      </c>
      <c r="C583" s="13">
        <f>VLOOKUP(A:A,'Nifty 50 '!$A:$B,2,0)</f>
        <v>19794.7</v>
      </c>
      <c r="D583" s="13">
        <f t="shared" si="9"/>
        <v>8.5253633943284821E-2</v>
      </c>
      <c r="E583" s="13">
        <f t="shared" si="9"/>
        <v>4.7877846948800578E-3</v>
      </c>
      <c r="G583" s="4"/>
    </row>
    <row r="584" spans="1:7" x14ac:dyDescent="0.3">
      <c r="A584" s="25">
        <v>45253</v>
      </c>
      <c r="B584" s="13">
        <v>2175.25</v>
      </c>
      <c r="C584" s="13">
        <f>VLOOKUP(A:A,'Nifty 50 '!$A:$B,2,0)</f>
        <v>19802</v>
      </c>
      <c r="D584" s="13">
        <f t="shared" si="9"/>
        <v>2.2815541896011957E-2</v>
      </c>
      <c r="E584" s="13">
        <f t="shared" si="9"/>
        <v>-3.6871759933041186E-4</v>
      </c>
      <c r="G584" s="4"/>
    </row>
    <row r="585" spans="1:7" x14ac:dyDescent="0.3">
      <c r="A585" s="25">
        <v>45252</v>
      </c>
      <c r="B585" s="13">
        <v>2172.65</v>
      </c>
      <c r="C585" s="13">
        <f>VLOOKUP(A:A,'Nifty 50 '!$A:$B,2,0)</f>
        <v>19811.849999999999</v>
      </c>
      <c r="D585" s="13">
        <f t="shared" si="9"/>
        <v>1.1959798109031201E-3</v>
      </c>
      <c r="E585" s="13">
        <f t="shared" si="9"/>
        <v>-4.9730082801831082E-4</v>
      </c>
      <c r="G585" s="4"/>
    </row>
    <row r="586" spans="1:7" x14ac:dyDescent="0.3">
      <c r="A586" s="25">
        <v>45251</v>
      </c>
      <c r="B586" s="13">
        <v>2196.65</v>
      </c>
      <c r="C586" s="13">
        <f>VLOOKUP(A:A,'Nifty 50 '!$A:$B,2,0)</f>
        <v>19783.400000000001</v>
      </c>
      <c r="D586" s="13">
        <f t="shared" si="9"/>
        <v>-1.0985851911014999E-2</v>
      </c>
      <c r="E586" s="13">
        <f t="shared" si="9"/>
        <v>1.4370413065190699E-3</v>
      </c>
      <c r="G586" s="4"/>
    </row>
    <row r="587" spans="1:7" x14ac:dyDescent="0.3">
      <c r="A587" s="25">
        <v>45250</v>
      </c>
      <c r="B587" s="13">
        <v>2149.85</v>
      </c>
      <c r="C587" s="13">
        <f>VLOOKUP(A:A,'Nifty 50 '!$A:$B,2,0)</f>
        <v>19694</v>
      </c>
      <c r="D587" s="13">
        <f t="shared" si="9"/>
        <v>2.1535400300258731E-2</v>
      </c>
      <c r="E587" s="13">
        <f t="shared" si="9"/>
        <v>4.5291813962118265E-3</v>
      </c>
      <c r="G587" s="4"/>
    </row>
    <row r="588" spans="1:7" x14ac:dyDescent="0.3">
      <c r="A588" s="25">
        <v>45247</v>
      </c>
      <c r="B588" s="13">
        <v>2208.8000000000002</v>
      </c>
      <c r="C588" s="13">
        <f>VLOOKUP(A:A,'Nifty 50 '!$A:$B,2,0)</f>
        <v>19731.8</v>
      </c>
      <c r="D588" s="13">
        <f t="shared" si="9"/>
        <v>-2.705130936995798E-2</v>
      </c>
      <c r="E588" s="13">
        <f t="shared" si="9"/>
        <v>-1.9175266745258626E-3</v>
      </c>
      <c r="G588" s="4"/>
    </row>
    <row r="589" spans="1:7" x14ac:dyDescent="0.3">
      <c r="A589" s="25">
        <v>45246</v>
      </c>
      <c r="B589" s="13">
        <v>2205.9</v>
      </c>
      <c r="C589" s="13">
        <f>VLOOKUP(A:A,'Nifty 50 '!$A:$B,2,0)</f>
        <v>19765.2</v>
      </c>
      <c r="D589" s="13">
        <f t="shared" si="9"/>
        <v>1.313792745658433E-3</v>
      </c>
      <c r="E589" s="13">
        <f t="shared" si="9"/>
        <v>-1.6912680943572324E-3</v>
      </c>
      <c r="G589" s="4"/>
    </row>
    <row r="590" spans="1:7" x14ac:dyDescent="0.3">
      <c r="A590" s="25">
        <v>45245</v>
      </c>
      <c r="B590" s="13">
        <v>2225.4</v>
      </c>
      <c r="C590" s="13">
        <f>VLOOKUP(A:A,'Nifty 50 '!$A:$B,2,0)</f>
        <v>19675.45</v>
      </c>
      <c r="D590" s="13">
        <f t="shared" si="9"/>
        <v>-8.8010858533138607E-3</v>
      </c>
      <c r="E590" s="13">
        <f t="shared" si="9"/>
        <v>4.5511498880301303E-3</v>
      </c>
      <c r="G590" s="4"/>
    </row>
    <row r="591" spans="1:7" x14ac:dyDescent="0.3">
      <c r="A591" s="25">
        <v>45243</v>
      </c>
      <c r="B591" s="13">
        <v>2213.65</v>
      </c>
      <c r="C591" s="13">
        <f>VLOOKUP(A:A,'Nifty 50 '!$A:$B,2,0)</f>
        <v>19443.55</v>
      </c>
      <c r="D591" s="13">
        <f t="shared" si="9"/>
        <v>5.2939378659374401E-3</v>
      </c>
      <c r="E591" s="13">
        <f t="shared" si="9"/>
        <v>1.185627017720115E-2</v>
      </c>
      <c r="G591" s="4"/>
    </row>
    <row r="592" spans="1:7" x14ac:dyDescent="0.3">
      <c r="A592" s="25">
        <v>45242</v>
      </c>
      <c r="B592" s="13">
        <v>2211.35</v>
      </c>
      <c r="C592" s="13">
        <f>VLOOKUP(A:A,'Nifty 50 '!$A:$B,2,0)</f>
        <v>19525.55</v>
      </c>
      <c r="D592" s="13">
        <f t="shared" si="9"/>
        <v>1.0395481162154411E-3</v>
      </c>
      <c r="E592" s="13">
        <f t="shared" si="9"/>
        <v>-4.2084688138326878E-3</v>
      </c>
      <c r="G592" s="4"/>
    </row>
    <row r="593" spans="1:7" x14ac:dyDescent="0.3">
      <c r="A593" s="25">
        <v>45240</v>
      </c>
      <c r="B593" s="13">
        <v>2205.1</v>
      </c>
      <c r="C593" s="13">
        <f>VLOOKUP(A:A,'Nifty 50 '!$A:$B,2,0)</f>
        <v>19425.349999999999</v>
      </c>
      <c r="D593" s="13">
        <f t="shared" si="9"/>
        <v>2.8303294149249598E-3</v>
      </c>
      <c r="E593" s="13">
        <f t="shared" si="9"/>
        <v>5.1449502336882525E-3</v>
      </c>
      <c r="G593" s="4"/>
    </row>
    <row r="594" spans="1:7" x14ac:dyDescent="0.3">
      <c r="A594" s="25">
        <v>45239</v>
      </c>
      <c r="B594" s="13">
        <v>2214.65</v>
      </c>
      <c r="C594" s="13">
        <f>VLOOKUP(A:A,'Nifty 50 '!$A:$B,2,0)</f>
        <v>19395.3</v>
      </c>
      <c r="D594" s="13">
        <f t="shared" si="9"/>
        <v>-4.3215181232404394E-3</v>
      </c>
      <c r="E594" s="13">
        <f t="shared" si="9"/>
        <v>1.548145433003843E-3</v>
      </c>
      <c r="G594" s="4"/>
    </row>
    <row r="595" spans="1:7" x14ac:dyDescent="0.3">
      <c r="A595" s="25">
        <v>45238</v>
      </c>
      <c r="B595" s="13">
        <v>2259.9499999999998</v>
      </c>
      <c r="C595" s="13">
        <f>VLOOKUP(A:A,'Nifty 50 '!$A:$B,2,0)</f>
        <v>19443.5</v>
      </c>
      <c r="D595" s="13">
        <f t="shared" si="9"/>
        <v>-2.0248311678026508E-2</v>
      </c>
      <c r="E595" s="13">
        <f t="shared" si="9"/>
        <v>-2.4820553026905696E-3</v>
      </c>
      <c r="G595" s="4"/>
    </row>
    <row r="596" spans="1:7" x14ac:dyDescent="0.3">
      <c r="A596" s="25">
        <v>45237</v>
      </c>
      <c r="B596" s="13">
        <v>2233.35</v>
      </c>
      <c r="C596" s="13">
        <f>VLOOKUP(A:A,'Nifty 50 '!$A:$B,2,0)</f>
        <v>19406.7</v>
      </c>
      <c r="D596" s="13">
        <f t="shared" si="9"/>
        <v>1.1839988758120092E-2</v>
      </c>
      <c r="E596" s="13">
        <f t="shared" si="9"/>
        <v>1.8944567083908723E-3</v>
      </c>
      <c r="G596" s="4"/>
    </row>
    <row r="597" spans="1:7" x14ac:dyDescent="0.3">
      <c r="A597" s="25">
        <v>45236</v>
      </c>
      <c r="B597" s="13">
        <v>2246</v>
      </c>
      <c r="C597" s="13">
        <f>VLOOKUP(A:A,'Nifty 50 '!$A:$B,2,0)</f>
        <v>19411.75</v>
      </c>
      <c r="D597" s="13">
        <f t="shared" si="9"/>
        <v>-5.6481559287193334E-3</v>
      </c>
      <c r="E597" s="13">
        <f t="shared" si="9"/>
        <v>-2.6018555756290862E-4</v>
      </c>
      <c r="G597" s="4"/>
    </row>
    <row r="598" spans="1:7" x14ac:dyDescent="0.3">
      <c r="A598" s="25">
        <v>45233</v>
      </c>
      <c r="B598" s="13">
        <v>2229.85</v>
      </c>
      <c r="C598" s="13">
        <f>VLOOKUP(A:A,'Nifty 50 '!$A:$B,2,0)</f>
        <v>19230.599999999999</v>
      </c>
      <c r="D598" s="13">
        <f t="shared" si="9"/>
        <v>7.2165376805779667E-3</v>
      </c>
      <c r="E598" s="13">
        <f t="shared" si="9"/>
        <v>9.3757924662759996E-3</v>
      </c>
      <c r="G598" s="4"/>
    </row>
    <row r="599" spans="1:7" x14ac:dyDescent="0.3">
      <c r="A599" s="25">
        <v>45232</v>
      </c>
      <c r="B599" s="13">
        <v>2215.3000000000002</v>
      </c>
      <c r="C599" s="13">
        <f>VLOOKUP(A:A,'Nifty 50 '!$A:$B,2,0)</f>
        <v>19133.25</v>
      </c>
      <c r="D599" s="13">
        <f t="shared" si="9"/>
        <v>6.5464841291806878E-3</v>
      </c>
      <c r="E599" s="13">
        <f t="shared" si="9"/>
        <v>5.0751011147600316E-3</v>
      </c>
      <c r="G599" s="4"/>
    </row>
    <row r="600" spans="1:7" x14ac:dyDescent="0.3">
      <c r="A600" s="25">
        <v>45231</v>
      </c>
      <c r="B600" s="13">
        <v>2217.3000000000002</v>
      </c>
      <c r="C600" s="13">
        <f>VLOOKUP(A:A,'Nifty 50 '!$A:$B,2,0)</f>
        <v>18989.150000000001</v>
      </c>
      <c r="D600" s="13">
        <f t="shared" si="9"/>
        <v>-9.0240497032103401E-4</v>
      </c>
      <c r="E600" s="13">
        <f t="shared" si="9"/>
        <v>7.5598958250219696E-3</v>
      </c>
      <c r="G600" s="4"/>
    </row>
    <row r="601" spans="1:7" x14ac:dyDescent="0.3">
      <c r="A601" s="25">
        <v>45230</v>
      </c>
      <c r="B601" s="13">
        <v>2294.65</v>
      </c>
      <c r="C601" s="13">
        <f>VLOOKUP(A:A,'Nifty 50 '!$A:$B,2,0)</f>
        <v>19079.599999999999</v>
      </c>
      <c r="D601" s="13">
        <f t="shared" si="9"/>
        <v>-3.429008695893352E-2</v>
      </c>
      <c r="E601" s="13">
        <f t="shared" si="9"/>
        <v>-4.7519380175908114E-3</v>
      </c>
      <c r="G601" s="4"/>
    </row>
    <row r="602" spans="1:7" x14ac:dyDescent="0.3">
      <c r="A602" s="25">
        <v>45229</v>
      </c>
      <c r="B602" s="13">
        <v>2299.1</v>
      </c>
      <c r="C602" s="13">
        <f>VLOOKUP(A:A,'Nifty 50 '!$A:$B,2,0)</f>
        <v>19140.900000000001</v>
      </c>
      <c r="D602" s="13">
        <f t="shared" si="9"/>
        <v>-1.9374155720063293E-3</v>
      </c>
      <c r="E602" s="13">
        <f t="shared" si="9"/>
        <v>-3.207705423086861E-3</v>
      </c>
      <c r="G602" s="4"/>
    </row>
    <row r="603" spans="1:7" x14ac:dyDescent="0.3">
      <c r="A603" s="25">
        <v>45226</v>
      </c>
      <c r="B603" s="13">
        <v>2261.6999999999998</v>
      </c>
      <c r="C603" s="13">
        <f>VLOOKUP(A:A,'Nifty 50 '!$A:$B,2,0)</f>
        <v>19047.25</v>
      </c>
      <c r="D603" s="13">
        <f t="shared" si="9"/>
        <v>1.640099910412484E-2</v>
      </c>
      <c r="E603" s="13">
        <f t="shared" si="9"/>
        <v>4.9046726660236838E-3</v>
      </c>
      <c r="G603" s="4"/>
    </row>
    <row r="604" spans="1:7" x14ac:dyDescent="0.3">
      <c r="A604" s="25">
        <v>45225</v>
      </c>
      <c r="B604" s="13">
        <v>2203.1999999999998</v>
      </c>
      <c r="C604" s="13">
        <f>VLOOKUP(A:A,'Nifty 50 '!$A:$B,2,0)</f>
        <v>18857.25</v>
      </c>
      <c r="D604" s="13">
        <f t="shared" si="9"/>
        <v>2.6205893911375386E-2</v>
      </c>
      <c r="E604" s="13">
        <f t="shared" si="9"/>
        <v>1.0025278863763394E-2</v>
      </c>
      <c r="G604" s="4"/>
    </row>
    <row r="605" spans="1:7" x14ac:dyDescent="0.3">
      <c r="A605" s="25">
        <v>45224</v>
      </c>
      <c r="B605" s="13">
        <v>2257</v>
      </c>
      <c r="C605" s="13">
        <f>VLOOKUP(A:A,'Nifty 50 '!$A:$B,2,0)</f>
        <v>19122.150000000001</v>
      </c>
      <c r="D605" s="13">
        <f t="shared" si="9"/>
        <v>-2.4125648843145373E-2</v>
      </c>
      <c r="E605" s="13">
        <f t="shared" si="9"/>
        <v>-1.3949893667133624E-2</v>
      </c>
      <c r="G605" s="4"/>
    </row>
    <row r="606" spans="1:7" x14ac:dyDescent="0.3">
      <c r="A606" s="25">
        <v>45222</v>
      </c>
      <c r="B606" s="13">
        <v>2308.65</v>
      </c>
      <c r="C606" s="13">
        <f>VLOOKUP(A:A,'Nifty 50 '!$A:$B,2,0)</f>
        <v>19281.75</v>
      </c>
      <c r="D606" s="13">
        <f t="shared" si="9"/>
        <v>-2.26264402765371E-2</v>
      </c>
      <c r="E606" s="13">
        <f t="shared" si="9"/>
        <v>-8.3117036978903082E-3</v>
      </c>
      <c r="G606" s="4"/>
    </row>
    <row r="607" spans="1:7" x14ac:dyDescent="0.3">
      <c r="A607" s="25">
        <v>45219</v>
      </c>
      <c r="B607" s="13">
        <v>2393.75</v>
      </c>
      <c r="C607" s="13">
        <f>VLOOKUP(A:A,'Nifty 50 '!$A:$B,2,0)</f>
        <v>19542.650000000001</v>
      </c>
      <c r="D607" s="13">
        <f t="shared" si="9"/>
        <v>-3.6198235834883311E-2</v>
      </c>
      <c r="E607" s="13">
        <f t="shared" si="9"/>
        <v>-1.3440203963636189E-2</v>
      </c>
      <c r="G607" s="4"/>
    </row>
    <row r="608" spans="1:7" x14ac:dyDescent="0.3">
      <c r="A608" s="25">
        <v>45218</v>
      </c>
      <c r="B608" s="13">
        <v>2402.1999999999998</v>
      </c>
      <c r="C608" s="13">
        <f>VLOOKUP(A:A,'Nifty 50 '!$A:$B,2,0)</f>
        <v>19624.7</v>
      </c>
      <c r="D608" s="13">
        <f t="shared" si="9"/>
        <v>-3.5238101914337075E-3</v>
      </c>
      <c r="E608" s="13">
        <f t="shared" si="9"/>
        <v>-4.1897202656687891E-3</v>
      </c>
      <c r="G608" s="4"/>
    </row>
    <row r="609" spans="1:7" x14ac:dyDescent="0.3">
      <c r="A609" s="25">
        <v>45217</v>
      </c>
      <c r="B609" s="13">
        <v>2406.35</v>
      </c>
      <c r="C609" s="13">
        <f>VLOOKUP(A:A,'Nifty 50 '!$A:$B,2,0)</f>
        <v>19671.099999999999</v>
      </c>
      <c r="D609" s="13">
        <f t="shared" si="9"/>
        <v>-1.7260924937347812E-3</v>
      </c>
      <c r="E609" s="13">
        <f t="shared" si="9"/>
        <v>-2.3615766348855094E-3</v>
      </c>
      <c r="G609" s="4"/>
    </row>
    <row r="610" spans="1:7" x14ac:dyDescent="0.3">
      <c r="A610" s="25">
        <v>45216</v>
      </c>
      <c r="B610" s="13">
        <v>2428.4</v>
      </c>
      <c r="C610" s="13">
        <f>VLOOKUP(A:A,'Nifty 50 '!$A:$B,2,0)</f>
        <v>19811.5</v>
      </c>
      <c r="D610" s="13">
        <f t="shared" si="9"/>
        <v>-9.1215276421543687E-3</v>
      </c>
      <c r="E610" s="13">
        <f t="shared" si="9"/>
        <v>-7.112023615253143E-3</v>
      </c>
      <c r="G610" s="4"/>
    </row>
    <row r="611" spans="1:7" x14ac:dyDescent="0.3">
      <c r="A611" s="25">
        <v>45215</v>
      </c>
      <c r="B611" s="13">
        <v>2429.35</v>
      </c>
      <c r="C611" s="13">
        <f>VLOOKUP(A:A,'Nifty 50 '!$A:$B,2,0)</f>
        <v>19731.75</v>
      </c>
      <c r="D611" s="13">
        <f t="shared" si="9"/>
        <v>-3.9112758462698919E-4</v>
      </c>
      <c r="E611" s="13">
        <f t="shared" si="9"/>
        <v>4.0335636613206176E-3</v>
      </c>
      <c r="G611" s="4"/>
    </row>
    <row r="612" spans="1:7" x14ac:dyDescent="0.3">
      <c r="A612" s="25">
        <v>45212</v>
      </c>
      <c r="B612" s="13">
        <v>2454.5500000000002</v>
      </c>
      <c r="C612" s="13">
        <f>VLOOKUP(A:A,'Nifty 50 '!$A:$B,2,0)</f>
        <v>19751.05</v>
      </c>
      <c r="D612" s="13">
        <f t="shared" si="9"/>
        <v>-1.0319713197326804E-2</v>
      </c>
      <c r="E612" s="13">
        <f t="shared" si="9"/>
        <v>-9.7764097466312354E-4</v>
      </c>
      <c r="G612" s="4"/>
    </row>
    <row r="613" spans="1:7" x14ac:dyDescent="0.3">
      <c r="A613" s="25">
        <v>45211</v>
      </c>
      <c r="B613" s="13">
        <v>2506.35</v>
      </c>
      <c r="C613" s="13">
        <f>VLOOKUP(A:A,'Nifty 50 '!$A:$B,2,0)</f>
        <v>19794</v>
      </c>
      <c r="D613" s="13">
        <f t="shared" si="9"/>
        <v>-2.0884066470029272E-2</v>
      </c>
      <c r="E613" s="13">
        <f t="shared" si="9"/>
        <v>-2.1722069835914395E-3</v>
      </c>
      <c r="G613" s="4"/>
    </row>
    <row r="614" spans="1:7" x14ac:dyDescent="0.3">
      <c r="A614" s="25">
        <v>45210</v>
      </c>
      <c r="B614" s="13">
        <v>2488.6</v>
      </c>
      <c r="C614" s="13">
        <f>VLOOKUP(A:A,'Nifty 50 '!$A:$B,2,0)</f>
        <v>19811.349999999999</v>
      </c>
      <c r="D614" s="13">
        <f t="shared" si="9"/>
        <v>7.1072081667312853E-3</v>
      </c>
      <c r="E614" s="13">
        <f t="shared" si="9"/>
        <v>-8.761443143344063E-4</v>
      </c>
      <c r="G614" s="4"/>
    </row>
    <row r="615" spans="1:7" x14ac:dyDescent="0.3">
      <c r="A615" s="25">
        <v>45209</v>
      </c>
      <c r="B615" s="13">
        <v>2498.3000000000002</v>
      </c>
      <c r="C615" s="13">
        <f>VLOOKUP(A:A,'Nifty 50 '!$A:$B,2,0)</f>
        <v>19689.849999999999</v>
      </c>
      <c r="D615" s="13">
        <f t="shared" si="9"/>
        <v>-3.8901972098972135E-3</v>
      </c>
      <c r="E615" s="13">
        <f t="shared" si="9"/>
        <v>6.1517312470612808E-3</v>
      </c>
      <c r="G615" s="4"/>
    </row>
    <row r="616" spans="1:7" x14ac:dyDescent="0.3">
      <c r="A616" s="25">
        <v>45208</v>
      </c>
      <c r="B616" s="13">
        <v>2442.6</v>
      </c>
      <c r="C616" s="13">
        <f>VLOOKUP(A:A,'Nifty 50 '!$A:$B,2,0)</f>
        <v>19512.349999999999</v>
      </c>
      <c r="D616" s="13">
        <f t="shared" si="9"/>
        <v>2.2547454814439895E-2</v>
      </c>
      <c r="E616" s="13">
        <f t="shared" si="9"/>
        <v>9.0556761096549799E-3</v>
      </c>
      <c r="G616" s="4"/>
    </row>
    <row r="617" spans="1:7" x14ac:dyDescent="0.3">
      <c r="A617" s="25">
        <v>45205</v>
      </c>
      <c r="B617" s="13">
        <v>2478.1</v>
      </c>
      <c r="C617" s="13">
        <f>VLOOKUP(A:A,'Nifty 50 '!$A:$B,2,0)</f>
        <v>19653.5</v>
      </c>
      <c r="D617" s="13">
        <f t="shared" si="9"/>
        <v>-1.4429091762954298E-2</v>
      </c>
      <c r="E617" s="13">
        <f t="shared" si="9"/>
        <v>-7.2078410705406432E-3</v>
      </c>
      <c r="G617" s="4"/>
    </row>
    <row r="618" spans="1:7" x14ac:dyDescent="0.3">
      <c r="A618" s="25">
        <v>45204</v>
      </c>
      <c r="B618" s="13">
        <v>2466.35</v>
      </c>
      <c r="C618" s="13">
        <f>VLOOKUP(A:A,'Nifty 50 '!$A:$B,2,0)</f>
        <v>19545.75</v>
      </c>
      <c r="D618" s="13">
        <f t="shared" si="9"/>
        <v>4.7528125953786825E-3</v>
      </c>
      <c r="E618" s="13">
        <f t="shared" si="9"/>
        <v>5.4975680085460219E-3</v>
      </c>
      <c r="G618" s="4"/>
    </row>
    <row r="619" spans="1:7" x14ac:dyDescent="0.3">
      <c r="A619" s="25">
        <v>45203</v>
      </c>
      <c r="B619" s="13">
        <v>2464.9499999999998</v>
      </c>
      <c r="C619" s="13">
        <f>VLOOKUP(A:A,'Nifty 50 '!$A:$B,2,0)</f>
        <v>19436.099999999999</v>
      </c>
      <c r="D619" s="13">
        <f t="shared" si="9"/>
        <v>5.6780160915519769E-4</v>
      </c>
      <c r="E619" s="13">
        <f t="shared" si="9"/>
        <v>5.625709872108961E-3</v>
      </c>
      <c r="G619" s="4"/>
    </row>
    <row r="620" spans="1:7" x14ac:dyDescent="0.3">
      <c r="A620" s="25">
        <v>45202</v>
      </c>
      <c r="B620" s="13">
        <v>2387.25</v>
      </c>
      <c r="C620" s="13">
        <f>VLOOKUP(A:A,'Nifty 50 '!$A:$B,2,0)</f>
        <v>19528.75</v>
      </c>
      <c r="D620" s="13">
        <f t="shared" si="9"/>
        <v>3.2029447465096644E-2</v>
      </c>
      <c r="E620" s="13">
        <f t="shared" si="9"/>
        <v>-4.7555771219727006E-3</v>
      </c>
      <c r="G620" s="4"/>
    </row>
    <row r="621" spans="1:7" x14ac:dyDescent="0.3">
      <c r="A621" s="25">
        <v>45198</v>
      </c>
      <c r="B621" s="13">
        <v>2413.9</v>
      </c>
      <c r="C621" s="13">
        <f>VLOOKUP(A:A,'Nifty 50 '!$A:$B,2,0)</f>
        <v>19638.3</v>
      </c>
      <c r="D621" s="13">
        <f t="shared" si="9"/>
        <v>-1.1101620948412588E-2</v>
      </c>
      <c r="E621" s="13">
        <f t="shared" si="9"/>
        <v>-5.5940023911736723E-3</v>
      </c>
      <c r="G621" s="4"/>
    </row>
    <row r="622" spans="1:7" x14ac:dyDescent="0.3">
      <c r="A622" s="25">
        <v>45197</v>
      </c>
      <c r="B622" s="13">
        <v>2475.25</v>
      </c>
      <c r="C622" s="13">
        <f>VLOOKUP(A:A,'Nifty 50 '!$A:$B,2,0)</f>
        <v>19523.55</v>
      </c>
      <c r="D622" s="13">
        <f t="shared" si="9"/>
        <v>-2.5097704223899574E-2</v>
      </c>
      <c r="E622" s="13">
        <f t="shared" si="9"/>
        <v>5.860311931494425E-3</v>
      </c>
      <c r="G622" s="4"/>
    </row>
    <row r="623" spans="1:7" x14ac:dyDescent="0.3">
      <c r="A623" s="25">
        <v>45196</v>
      </c>
      <c r="B623" s="13">
        <v>2483.3000000000002</v>
      </c>
      <c r="C623" s="13">
        <f>VLOOKUP(A:A,'Nifty 50 '!$A:$B,2,0)</f>
        <v>19716.45</v>
      </c>
      <c r="D623" s="13">
        <f t="shared" si="9"/>
        <v>-3.2469197939927557E-3</v>
      </c>
      <c r="E623" s="13">
        <f t="shared" si="9"/>
        <v>-9.8318834812623906E-3</v>
      </c>
      <c r="G623" s="4"/>
    </row>
    <row r="624" spans="1:7" x14ac:dyDescent="0.3">
      <c r="A624" s="25">
        <v>45195</v>
      </c>
      <c r="B624" s="13">
        <v>2457.9499999999998</v>
      </c>
      <c r="C624" s="13">
        <f>VLOOKUP(A:A,'Nifty 50 '!$A:$B,2,0)</f>
        <v>19664.7</v>
      </c>
      <c r="D624" s="13">
        <f t="shared" si="9"/>
        <v>1.0260651618785827E-2</v>
      </c>
      <c r="E624" s="13">
        <f t="shared" si="9"/>
        <v>2.6281624476409476E-3</v>
      </c>
      <c r="G624" s="4"/>
    </row>
    <row r="625" spans="1:7" x14ac:dyDescent="0.3">
      <c r="A625" s="25">
        <v>45194</v>
      </c>
      <c r="B625" s="13">
        <v>2482.1</v>
      </c>
      <c r="C625" s="13">
        <f>VLOOKUP(A:A,'Nifty 50 '!$A:$B,2,0)</f>
        <v>19674.55</v>
      </c>
      <c r="D625" s="13">
        <f t="shared" si="9"/>
        <v>-9.7773068637358376E-3</v>
      </c>
      <c r="E625" s="13">
        <f t="shared" si="9"/>
        <v>-5.00772140080995E-4</v>
      </c>
      <c r="G625" s="4"/>
    </row>
    <row r="626" spans="1:7" x14ac:dyDescent="0.3">
      <c r="A626" s="25">
        <v>45191</v>
      </c>
      <c r="B626" s="13">
        <v>2464.9</v>
      </c>
      <c r="C626" s="13">
        <f>VLOOKUP(A:A,'Nifty 50 '!$A:$B,2,0)</f>
        <v>19674.25</v>
      </c>
      <c r="D626" s="13">
        <f t="shared" si="9"/>
        <v>6.9537373389963256E-3</v>
      </c>
      <c r="E626" s="13">
        <f t="shared" si="9"/>
        <v>1.5248241369763049E-5</v>
      </c>
      <c r="G626" s="4"/>
    </row>
    <row r="627" spans="1:7" x14ac:dyDescent="0.3">
      <c r="A627" s="25">
        <v>45190</v>
      </c>
      <c r="B627" s="13">
        <v>2479.25</v>
      </c>
      <c r="C627" s="13">
        <f>VLOOKUP(A:A,'Nifty 50 '!$A:$B,2,0)</f>
        <v>19742.349999999999</v>
      </c>
      <c r="D627" s="13">
        <f t="shared" si="9"/>
        <v>-5.8048563636640266E-3</v>
      </c>
      <c r="E627" s="13">
        <f t="shared" si="9"/>
        <v>-3.45540040278986E-3</v>
      </c>
      <c r="G627" s="4"/>
    </row>
    <row r="628" spans="1:7" x14ac:dyDescent="0.3">
      <c r="A628" s="25">
        <v>45189</v>
      </c>
      <c r="B628" s="13">
        <v>2470.3000000000002</v>
      </c>
      <c r="C628" s="13">
        <f>VLOOKUP(A:A,'Nifty 50 '!$A:$B,2,0)</f>
        <v>19901.400000000001</v>
      </c>
      <c r="D628" s="13">
        <f t="shared" si="9"/>
        <v>3.6164943296966134E-3</v>
      </c>
      <c r="E628" s="13">
        <f t="shared" si="9"/>
        <v>-8.0240064758942062E-3</v>
      </c>
      <c r="G628" s="4"/>
    </row>
    <row r="629" spans="1:7" x14ac:dyDescent="0.3">
      <c r="A629" s="25">
        <v>45187</v>
      </c>
      <c r="B629" s="13">
        <v>2502.4499999999998</v>
      </c>
      <c r="C629" s="13">
        <f>VLOOKUP(A:A,'Nifty 50 '!$A:$B,2,0)</f>
        <v>20133.3</v>
      </c>
      <c r="D629" s="13">
        <f t="shared" si="9"/>
        <v>-1.2930651233254493E-2</v>
      </c>
      <c r="E629" s="13">
        <f t="shared" si="9"/>
        <v>-1.1585079627478101E-2</v>
      </c>
      <c r="G629" s="4"/>
    </row>
    <row r="630" spans="1:7" x14ac:dyDescent="0.3">
      <c r="A630" s="25">
        <v>45184</v>
      </c>
      <c r="B630" s="13">
        <v>2540.0500000000002</v>
      </c>
      <c r="C630" s="13">
        <f>VLOOKUP(A:A,'Nifty 50 '!$A:$B,2,0)</f>
        <v>20192.349999999999</v>
      </c>
      <c r="D630" s="13">
        <f t="shared" si="9"/>
        <v>-1.4913513888412262E-2</v>
      </c>
      <c r="E630" s="13">
        <f t="shared" si="9"/>
        <v>-2.9286591638919969E-3</v>
      </c>
      <c r="G630" s="4"/>
    </row>
    <row r="631" spans="1:7" x14ac:dyDescent="0.3">
      <c r="A631" s="25">
        <v>45183</v>
      </c>
      <c r="B631" s="13">
        <v>2519.8000000000002</v>
      </c>
      <c r="C631" s="13">
        <f>VLOOKUP(A:A,'Nifty 50 '!$A:$B,2,0)</f>
        <v>20103.099999999999</v>
      </c>
      <c r="D631" s="13">
        <f t="shared" si="9"/>
        <v>8.0042325816750345E-3</v>
      </c>
      <c r="E631" s="13">
        <f t="shared" si="9"/>
        <v>4.4297877773378114E-3</v>
      </c>
      <c r="G631" s="4"/>
    </row>
    <row r="632" spans="1:7" x14ac:dyDescent="0.3">
      <c r="A632" s="25">
        <v>45182</v>
      </c>
      <c r="B632" s="13">
        <v>2518.9</v>
      </c>
      <c r="C632" s="13">
        <f>VLOOKUP(A:A,'Nifty 50 '!$A:$B,2,0)</f>
        <v>20070</v>
      </c>
      <c r="D632" s="13">
        <f t="shared" si="9"/>
        <v>3.5723500489071464E-4</v>
      </c>
      <c r="E632" s="13">
        <f t="shared" si="9"/>
        <v>1.6478692204573958E-3</v>
      </c>
      <c r="G632" s="4"/>
    </row>
    <row r="633" spans="1:7" x14ac:dyDescent="0.3">
      <c r="A633" s="25">
        <v>45181</v>
      </c>
      <c r="B633" s="13">
        <v>2535.6999999999998</v>
      </c>
      <c r="C633" s="13">
        <f>VLOOKUP(A:A,'Nifty 50 '!$A:$B,2,0)</f>
        <v>19993.2</v>
      </c>
      <c r="D633" s="13">
        <f t="shared" si="9"/>
        <v>-6.6474347579229117E-3</v>
      </c>
      <c r="E633" s="13">
        <f t="shared" si="9"/>
        <v>3.833947067360447E-3</v>
      </c>
      <c r="G633" s="4"/>
    </row>
    <row r="634" spans="1:7" x14ac:dyDescent="0.3">
      <c r="A634" s="25">
        <v>45180</v>
      </c>
      <c r="B634" s="13">
        <v>2614.9499999999998</v>
      </c>
      <c r="C634" s="13">
        <f>VLOOKUP(A:A,'Nifty 50 '!$A:$B,2,0)</f>
        <v>19996.349999999999</v>
      </c>
      <c r="D634" s="13">
        <f t="shared" si="9"/>
        <v>-3.0775243827772292E-2</v>
      </c>
      <c r="E634" s="13">
        <f t="shared" si="9"/>
        <v>-1.5754115795312492E-4</v>
      </c>
      <c r="G634" s="4"/>
    </row>
    <row r="635" spans="1:7" x14ac:dyDescent="0.3">
      <c r="A635" s="25">
        <v>45177</v>
      </c>
      <c r="B635" s="13">
        <v>2519.3000000000002</v>
      </c>
      <c r="C635" s="13">
        <f>VLOOKUP(A:A,'Nifty 50 '!$A:$B,2,0)</f>
        <v>19819.95</v>
      </c>
      <c r="D635" s="13">
        <f t="shared" si="9"/>
        <v>3.7263891717035598E-2</v>
      </c>
      <c r="E635" s="13">
        <f t="shared" si="9"/>
        <v>8.8607507045185847E-3</v>
      </c>
      <c r="G635" s="4"/>
    </row>
    <row r="636" spans="1:7" x14ac:dyDescent="0.3">
      <c r="A636" s="25">
        <v>45176</v>
      </c>
      <c r="B636" s="13">
        <v>2509.5</v>
      </c>
      <c r="C636" s="13">
        <f>VLOOKUP(A:A,'Nifty 50 '!$A:$B,2,0)</f>
        <v>19727.05</v>
      </c>
      <c r="D636" s="13">
        <f t="shared" si="9"/>
        <v>3.8975550453099546E-3</v>
      </c>
      <c r="E636" s="13">
        <f t="shared" si="9"/>
        <v>4.6982158385487317E-3</v>
      </c>
      <c r="G636" s="4"/>
    </row>
    <row r="637" spans="1:7" x14ac:dyDescent="0.3">
      <c r="A637" s="25">
        <v>45175</v>
      </c>
      <c r="B637" s="13">
        <v>2496.5</v>
      </c>
      <c r="C637" s="13">
        <f>VLOOKUP(A:A,'Nifty 50 '!$A:$B,2,0)</f>
        <v>19611.05</v>
      </c>
      <c r="D637" s="13">
        <f t="shared" si="9"/>
        <v>5.1937791543243154E-3</v>
      </c>
      <c r="E637" s="13">
        <f t="shared" si="9"/>
        <v>5.8976074708040286E-3</v>
      </c>
      <c r="G637" s="4"/>
    </row>
    <row r="638" spans="1:7" x14ac:dyDescent="0.3">
      <c r="A638" s="25">
        <v>45174</v>
      </c>
      <c r="B638" s="13">
        <v>2494.0500000000002</v>
      </c>
      <c r="C638" s="13">
        <f>VLOOKUP(A:A,'Nifty 50 '!$A:$B,2,0)</f>
        <v>19574.900000000001</v>
      </c>
      <c r="D638" s="13">
        <f t="shared" si="9"/>
        <v>9.8185578616566903E-4</v>
      </c>
      <c r="E638" s="13">
        <f t="shared" si="9"/>
        <v>1.8450495779825536E-3</v>
      </c>
      <c r="G638" s="4"/>
    </row>
    <row r="639" spans="1:7" x14ac:dyDescent="0.3">
      <c r="A639" s="25">
        <v>45173</v>
      </c>
      <c r="B639" s="13">
        <v>2470.6</v>
      </c>
      <c r="C639" s="13">
        <f>VLOOKUP(A:A,'Nifty 50 '!$A:$B,2,0)</f>
        <v>19528.8</v>
      </c>
      <c r="D639" s="13">
        <f t="shared" si="9"/>
        <v>9.4468590517848439E-3</v>
      </c>
      <c r="E639" s="13">
        <f t="shared" si="9"/>
        <v>2.3578342385654032E-3</v>
      </c>
      <c r="G639" s="4"/>
    </row>
    <row r="640" spans="1:7" x14ac:dyDescent="0.3">
      <c r="A640" s="25">
        <v>45170</v>
      </c>
      <c r="B640" s="13">
        <v>2450.0500000000002</v>
      </c>
      <c r="C640" s="13">
        <f>VLOOKUP(A:A,'Nifty 50 '!$A:$B,2,0)</f>
        <v>19435.3</v>
      </c>
      <c r="D640" s="13">
        <f t="shared" si="9"/>
        <v>8.3526036089190368E-3</v>
      </c>
      <c r="E640" s="13">
        <f t="shared" si="9"/>
        <v>4.7992988144208368E-3</v>
      </c>
      <c r="G640" s="4"/>
    </row>
    <row r="641" spans="1:7" x14ac:dyDescent="0.3">
      <c r="A641" s="25">
        <v>45169</v>
      </c>
      <c r="B641" s="13">
        <v>2419.25</v>
      </c>
      <c r="C641" s="13">
        <f>VLOOKUP(A:A,'Nifty 50 '!$A:$B,2,0)</f>
        <v>19253.8</v>
      </c>
      <c r="D641" s="13">
        <f t="shared" si="9"/>
        <v>1.2650857732742502E-2</v>
      </c>
      <c r="E641" s="13">
        <f t="shared" si="9"/>
        <v>9.3825564041325141E-3</v>
      </c>
      <c r="G641" s="4"/>
    </row>
    <row r="642" spans="1:7" x14ac:dyDescent="0.3">
      <c r="A642" s="25">
        <v>45168</v>
      </c>
      <c r="B642" s="13">
        <v>2513.1</v>
      </c>
      <c r="C642" s="13">
        <f>VLOOKUP(A:A,'Nifty 50 '!$A:$B,2,0)</f>
        <v>19347.45</v>
      </c>
      <c r="D642" s="13">
        <f t="shared" si="9"/>
        <v>-3.8059476066821578E-2</v>
      </c>
      <c r="E642" s="13">
        <f t="shared" si="9"/>
        <v>-4.8521839960522653E-3</v>
      </c>
      <c r="G642" s="4"/>
    </row>
    <row r="643" spans="1:7" x14ac:dyDescent="0.3">
      <c r="A643" s="25">
        <v>45167</v>
      </c>
      <c r="B643" s="13">
        <v>2506.4499999999998</v>
      </c>
      <c r="C643" s="13">
        <f>VLOOKUP(A:A,'Nifty 50 '!$A:$B,2,0)</f>
        <v>19342.650000000001</v>
      </c>
      <c r="D643" s="13">
        <f t="shared" si="9"/>
        <v>2.6496414581315061E-3</v>
      </c>
      <c r="E643" s="13">
        <f t="shared" si="9"/>
        <v>2.4812549073918429E-4</v>
      </c>
      <c r="G643" s="4"/>
    </row>
    <row r="644" spans="1:7" x14ac:dyDescent="0.3">
      <c r="A644" s="25">
        <v>45166</v>
      </c>
      <c r="B644" s="13">
        <v>2472.4499999999998</v>
      </c>
      <c r="C644" s="13">
        <f>VLOOKUP(A:A,'Nifty 50 '!$A:$B,2,0)</f>
        <v>19306.05</v>
      </c>
      <c r="D644" s="13">
        <f t="shared" ref="D644:E707" si="10">LN(B643/B644)</f>
        <v>1.3657847524267427E-2</v>
      </c>
      <c r="E644" s="13">
        <f t="shared" si="10"/>
        <v>1.8939840636754115E-3</v>
      </c>
      <c r="G644" s="4"/>
    </row>
    <row r="645" spans="1:7" x14ac:dyDescent="0.3">
      <c r="A645" s="25">
        <v>45163</v>
      </c>
      <c r="B645" s="13">
        <v>2495.75</v>
      </c>
      <c r="C645" s="13">
        <f>VLOOKUP(A:A,'Nifty 50 '!$A:$B,2,0)</f>
        <v>19265.8</v>
      </c>
      <c r="D645" s="13">
        <f t="shared" si="10"/>
        <v>-9.3797233710600208E-3</v>
      </c>
      <c r="E645" s="13">
        <f t="shared" si="10"/>
        <v>2.0870149919961396E-3</v>
      </c>
      <c r="G645" s="4"/>
    </row>
    <row r="646" spans="1:7" x14ac:dyDescent="0.3">
      <c r="A646" s="25">
        <v>45162</v>
      </c>
      <c r="B646" s="13">
        <v>2539.5500000000002</v>
      </c>
      <c r="C646" s="13">
        <f>VLOOKUP(A:A,'Nifty 50 '!$A:$B,2,0)</f>
        <v>19386.7</v>
      </c>
      <c r="D646" s="13">
        <f t="shared" si="10"/>
        <v>-1.7397614746081799E-2</v>
      </c>
      <c r="E646" s="13">
        <f t="shared" si="10"/>
        <v>-6.2557606509410085E-3</v>
      </c>
      <c r="G646" s="4"/>
    </row>
    <row r="647" spans="1:7" x14ac:dyDescent="0.3">
      <c r="A647" s="25">
        <v>45161</v>
      </c>
      <c r="B647" s="13">
        <v>2530.3000000000002</v>
      </c>
      <c r="C647" s="13">
        <f>VLOOKUP(A:A,'Nifty 50 '!$A:$B,2,0)</f>
        <v>19444</v>
      </c>
      <c r="D647" s="13">
        <f t="shared" si="10"/>
        <v>3.6490271956573384E-3</v>
      </c>
      <c r="E647" s="13">
        <f t="shared" si="10"/>
        <v>-2.9512752327599183E-3</v>
      </c>
      <c r="G647" s="4"/>
    </row>
    <row r="648" spans="1:7" x14ac:dyDescent="0.3">
      <c r="A648" s="25">
        <v>45160</v>
      </c>
      <c r="B648" s="13">
        <v>2698.05</v>
      </c>
      <c r="C648" s="13">
        <f>VLOOKUP(A:A,'Nifty 50 '!$A:$B,2,0)</f>
        <v>19396.45</v>
      </c>
      <c r="D648" s="13">
        <f t="shared" si="10"/>
        <v>-6.4191417075130444E-2</v>
      </c>
      <c r="E648" s="13">
        <f t="shared" si="10"/>
        <v>2.4484795493044608E-3</v>
      </c>
      <c r="G648" s="4"/>
    </row>
    <row r="649" spans="1:7" x14ac:dyDescent="0.3">
      <c r="A649" s="25">
        <v>45159</v>
      </c>
      <c r="B649" s="13">
        <v>2639.75</v>
      </c>
      <c r="C649" s="13">
        <f>VLOOKUP(A:A,'Nifty 50 '!$A:$B,2,0)</f>
        <v>19393.599999999999</v>
      </c>
      <c r="D649" s="13">
        <f t="shared" si="10"/>
        <v>2.1845074155465678E-2</v>
      </c>
      <c r="E649" s="13">
        <f t="shared" si="10"/>
        <v>1.4694489979421606E-4</v>
      </c>
      <c r="G649" s="4"/>
    </row>
    <row r="650" spans="1:7" x14ac:dyDescent="0.3">
      <c r="A650" s="25">
        <v>45156</v>
      </c>
      <c r="B650" s="13">
        <v>2577.4</v>
      </c>
      <c r="C650" s="13">
        <f>VLOOKUP(A:A,'Nifty 50 '!$A:$B,2,0)</f>
        <v>19310.150000000001</v>
      </c>
      <c r="D650" s="13">
        <f t="shared" si="10"/>
        <v>2.3903076832332972E-2</v>
      </c>
      <c r="E650" s="13">
        <f t="shared" si="10"/>
        <v>4.3122503280009121E-3</v>
      </c>
      <c r="G650" s="4"/>
    </row>
    <row r="651" spans="1:7" x14ac:dyDescent="0.3">
      <c r="A651" s="25">
        <v>45155</v>
      </c>
      <c r="B651" s="13">
        <v>2479.6999999999998</v>
      </c>
      <c r="C651" s="13">
        <f>VLOOKUP(A:A,'Nifty 50 '!$A:$B,2,0)</f>
        <v>19365.25</v>
      </c>
      <c r="D651" s="13">
        <f t="shared" si="10"/>
        <v>3.8643553754386016E-2</v>
      </c>
      <c r="E651" s="13">
        <f t="shared" si="10"/>
        <v>-2.8493583662490217E-3</v>
      </c>
      <c r="G651" s="4"/>
    </row>
    <row r="652" spans="1:7" x14ac:dyDescent="0.3">
      <c r="A652" s="25">
        <v>45154</v>
      </c>
      <c r="B652" s="13">
        <v>2445.1</v>
      </c>
      <c r="C652" s="13">
        <f>VLOOKUP(A:A,'Nifty 50 '!$A:$B,2,0)</f>
        <v>19465</v>
      </c>
      <c r="D652" s="13">
        <f t="shared" si="10"/>
        <v>1.4051563231805364E-2</v>
      </c>
      <c r="E652" s="13">
        <f t="shared" si="10"/>
        <v>-5.137758290060533E-3</v>
      </c>
      <c r="G652" s="4"/>
    </row>
    <row r="653" spans="1:7" x14ac:dyDescent="0.3">
      <c r="A653" s="25">
        <v>45152</v>
      </c>
      <c r="B653" s="13">
        <v>2456</v>
      </c>
      <c r="C653" s="13">
        <f>VLOOKUP(A:A,'Nifty 50 '!$A:$B,2,0)</f>
        <v>19434.55</v>
      </c>
      <c r="D653" s="13">
        <f t="shared" si="10"/>
        <v>-4.4479883989334756E-3</v>
      </c>
      <c r="E653" s="13">
        <f t="shared" si="10"/>
        <v>1.5655711297147335E-3</v>
      </c>
      <c r="G653" s="4"/>
    </row>
    <row r="654" spans="1:7" x14ac:dyDescent="0.3">
      <c r="A654" s="25">
        <v>45149</v>
      </c>
      <c r="B654" s="13">
        <v>2539.5</v>
      </c>
      <c r="C654" s="13">
        <f>VLOOKUP(A:A,'Nifty 50 '!$A:$B,2,0)</f>
        <v>19428.3</v>
      </c>
      <c r="D654" s="13">
        <f t="shared" si="10"/>
        <v>-3.3433200974266615E-2</v>
      </c>
      <c r="E654" s="13">
        <f t="shared" si="10"/>
        <v>3.2164393779061565E-4</v>
      </c>
      <c r="G654" s="4"/>
    </row>
    <row r="655" spans="1:7" x14ac:dyDescent="0.3">
      <c r="A655" s="25">
        <v>45148</v>
      </c>
      <c r="B655" s="13">
        <v>2552.4</v>
      </c>
      <c r="C655" s="13">
        <f>VLOOKUP(A:A,'Nifty 50 '!$A:$B,2,0)</f>
        <v>19543.099999999999</v>
      </c>
      <c r="D655" s="13">
        <f t="shared" si="10"/>
        <v>-5.0668817528921675E-3</v>
      </c>
      <c r="E655" s="13">
        <f t="shared" si="10"/>
        <v>-5.8915169615944563E-3</v>
      </c>
      <c r="G655" s="4"/>
    </row>
    <row r="656" spans="1:7" x14ac:dyDescent="0.3">
      <c r="A656" s="25">
        <v>45147</v>
      </c>
      <c r="B656" s="13">
        <v>2507.1</v>
      </c>
      <c r="C656" s="13">
        <f>VLOOKUP(A:A,'Nifty 50 '!$A:$B,2,0)</f>
        <v>19632.55</v>
      </c>
      <c r="D656" s="13">
        <f t="shared" si="10"/>
        <v>1.790738631869174E-2</v>
      </c>
      <c r="E656" s="13">
        <f t="shared" si="10"/>
        <v>-4.5666201045435747E-3</v>
      </c>
      <c r="G656" s="4"/>
    </row>
    <row r="657" spans="1:7" x14ac:dyDescent="0.3">
      <c r="A657" s="25">
        <v>45146</v>
      </c>
      <c r="B657" s="13">
        <v>2474.5500000000002</v>
      </c>
      <c r="C657" s="13">
        <f>VLOOKUP(A:A,'Nifty 50 '!$A:$B,2,0)</f>
        <v>19570.849999999999</v>
      </c>
      <c r="D657" s="13">
        <f t="shared" si="10"/>
        <v>1.3068145385456901E-2</v>
      </c>
      <c r="E657" s="13">
        <f t="shared" si="10"/>
        <v>3.1476887690017655E-3</v>
      </c>
      <c r="G657" s="4"/>
    </row>
    <row r="658" spans="1:7" x14ac:dyDescent="0.3">
      <c r="A658" s="25">
        <v>45145</v>
      </c>
      <c r="B658" s="13">
        <v>2550.5</v>
      </c>
      <c r="C658" s="13">
        <f>VLOOKUP(A:A,'Nifty 50 '!$A:$B,2,0)</f>
        <v>19597.3</v>
      </c>
      <c r="D658" s="13">
        <f t="shared" si="10"/>
        <v>-3.0230857072938117E-2</v>
      </c>
      <c r="E658" s="13">
        <f t="shared" si="10"/>
        <v>-1.3505873532751007E-3</v>
      </c>
      <c r="G658" s="4"/>
    </row>
    <row r="659" spans="1:7" x14ac:dyDescent="0.3">
      <c r="A659" s="25">
        <v>45142</v>
      </c>
      <c r="B659" s="13">
        <v>2541.8000000000002</v>
      </c>
      <c r="C659" s="13">
        <f>VLOOKUP(A:A,'Nifty 50 '!$A:$B,2,0)</f>
        <v>19517</v>
      </c>
      <c r="D659" s="13">
        <f t="shared" si="10"/>
        <v>3.4169269150110576E-3</v>
      </c>
      <c r="E659" s="13">
        <f t="shared" si="10"/>
        <v>4.1059209962603233E-3</v>
      </c>
      <c r="G659" s="4"/>
    </row>
    <row r="660" spans="1:7" x14ac:dyDescent="0.3">
      <c r="A660" s="25">
        <v>45141</v>
      </c>
      <c r="B660" s="13">
        <v>2532.6</v>
      </c>
      <c r="C660" s="13">
        <f>VLOOKUP(A:A,'Nifty 50 '!$A:$B,2,0)</f>
        <v>19381.650000000001</v>
      </c>
      <c r="D660" s="13">
        <f t="shared" si="10"/>
        <v>3.6260484314621518E-3</v>
      </c>
      <c r="E660" s="13">
        <f t="shared" si="10"/>
        <v>6.9591384917051941E-3</v>
      </c>
      <c r="G660" s="4"/>
    </row>
    <row r="661" spans="1:7" x14ac:dyDescent="0.3">
      <c r="A661" s="25">
        <v>45140</v>
      </c>
      <c r="B661" s="13">
        <v>2473.5500000000002</v>
      </c>
      <c r="C661" s="13">
        <f>VLOOKUP(A:A,'Nifty 50 '!$A:$B,2,0)</f>
        <v>19526.55</v>
      </c>
      <c r="D661" s="13">
        <f t="shared" si="10"/>
        <v>2.3592077281774766E-2</v>
      </c>
      <c r="E661" s="13">
        <f t="shared" si="10"/>
        <v>-7.4483358208647541E-3</v>
      </c>
      <c r="G661" s="4"/>
    </row>
    <row r="662" spans="1:7" x14ac:dyDescent="0.3">
      <c r="A662" s="25">
        <v>45139</v>
      </c>
      <c r="B662" s="13">
        <v>2481.1</v>
      </c>
      <c r="C662" s="13">
        <f>VLOOKUP(A:A,'Nifty 50 '!$A:$B,2,0)</f>
        <v>19733.55</v>
      </c>
      <c r="D662" s="13">
        <f t="shared" si="10"/>
        <v>-3.0476444728830339E-3</v>
      </c>
      <c r="E662" s="13">
        <f t="shared" si="10"/>
        <v>-1.0545154913078857E-2</v>
      </c>
      <c r="G662" s="4"/>
    </row>
    <row r="663" spans="1:7" x14ac:dyDescent="0.3">
      <c r="A663" s="25">
        <v>45138</v>
      </c>
      <c r="B663" s="13">
        <v>2492.1999999999998</v>
      </c>
      <c r="C663" s="13">
        <f>VLOOKUP(A:A,'Nifty 50 '!$A:$B,2,0)</f>
        <v>19753.8</v>
      </c>
      <c r="D663" s="13">
        <f t="shared" si="10"/>
        <v>-4.4638443011508202E-3</v>
      </c>
      <c r="E663" s="13">
        <f t="shared" si="10"/>
        <v>-1.0256450116385468E-3</v>
      </c>
      <c r="G663" s="4"/>
    </row>
    <row r="664" spans="1:7" x14ac:dyDescent="0.3">
      <c r="A664" s="25">
        <v>45135</v>
      </c>
      <c r="B664" s="13">
        <v>2463.1999999999998</v>
      </c>
      <c r="C664" s="13">
        <f>VLOOKUP(A:A,'Nifty 50 '!$A:$B,2,0)</f>
        <v>19646.05</v>
      </c>
      <c r="D664" s="13">
        <f t="shared" si="10"/>
        <v>1.1704536898476593E-2</v>
      </c>
      <c r="E664" s="13">
        <f t="shared" si="10"/>
        <v>5.4695776061646278E-3</v>
      </c>
      <c r="G664" s="4"/>
    </row>
    <row r="665" spans="1:7" x14ac:dyDescent="0.3">
      <c r="A665" s="25">
        <v>45134</v>
      </c>
      <c r="B665" s="13">
        <v>2428.4</v>
      </c>
      <c r="C665" s="13">
        <f>VLOOKUP(A:A,'Nifty 50 '!$A:$B,2,0)</f>
        <v>19659.900000000001</v>
      </c>
      <c r="D665" s="13">
        <f t="shared" si="10"/>
        <v>1.4228713354011439E-2</v>
      </c>
      <c r="E665" s="13">
        <f t="shared" si="10"/>
        <v>-7.0472793931755033E-4</v>
      </c>
      <c r="G665" s="4"/>
    </row>
    <row r="666" spans="1:7" x14ac:dyDescent="0.3">
      <c r="A666" s="25">
        <v>45133</v>
      </c>
      <c r="B666" s="13">
        <v>2470.75</v>
      </c>
      <c r="C666" s="13">
        <f>VLOOKUP(A:A,'Nifty 50 '!$A:$B,2,0)</f>
        <v>19778.3</v>
      </c>
      <c r="D666" s="13">
        <f t="shared" si="10"/>
        <v>-1.7289144000014203E-2</v>
      </c>
      <c r="E666" s="13">
        <f t="shared" si="10"/>
        <v>-6.0043488655605838E-3</v>
      </c>
      <c r="G666" s="4"/>
    </row>
    <row r="667" spans="1:7" x14ac:dyDescent="0.3">
      <c r="A667" s="25">
        <v>45132</v>
      </c>
      <c r="B667" s="13">
        <v>2466.65</v>
      </c>
      <c r="C667" s="13">
        <f>VLOOKUP(A:A,'Nifty 50 '!$A:$B,2,0)</f>
        <v>19680.599999999999</v>
      </c>
      <c r="D667" s="13">
        <f t="shared" si="10"/>
        <v>1.6607935117256309E-3</v>
      </c>
      <c r="E667" s="13">
        <f t="shared" si="10"/>
        <v>4.9519981374134591E-3</v>
      </c>
      <c r="G667" s="4"/>
    </row>
    <row r="668" spans="1:7" x14ac:dyDescent="0.3">
      <c r="A668" s="25">
        <v>45131</v>
      </c>
      <c r="B668" s="13">
        <v>2418.1999999999998</v>
      </c>
      <c r="C668" s="13">
        <f>VLOOKUP(A:A,'Nifty 50 '!$A:$B,2,0)</f>
        <v>19672.349999999999</v>
      </c>
      <c r="D668" s="13">
        <f t="shared" si="10"/>
        <v>1.9837493004421485E-2</v>
      </c>
      <c r="E668" s="13">
        <f t="shared" si="10"/>
        <v>4.1928242334364116E-4</v>
      </c>
      <c r="G668" s="4"/>
    </row>
    <row r="669" spans="1:7" x14ac:dyDescent="0.3">
      <c r="A669" s="25">
        <v>45128</v>
      </c>
      <c r="B669" s="13">
        <v>2416.3000000000002</v>
      </c>
      <c r="C669" s="13">
        <f>VLOOKUP(A:A,'Nifty 50 '!$A:$B,2,0)</f>
        <v>19745</v>
      </c>
      <c r="D669" s="13">
        <f t="shared" si="10"/>
        <v>7.8601720873794345E-4</v>
      </c>
      <c r="E669" s="13">
        <f t="shared" si="10"/>
        <v>-3.6861981977146939E-3</v>
      </c>
      <c r="G669" s="4"/>
    </row>
    <row r="670" spans="1:7" x14ac:dyDescent="0.3">
      <c r="A670" s="25">
        <v>45127</v>
      </c>
      <c r="B670" s="13">
        <v>2419.75</v>
      </c>
      <c r="C670" s="13">
        <f>VLOOKUP(A:A,'Nifty 50 '!$A:$B,2,0)</f>
        <v>19979.150000000001</v>
      </c>
      <c r="D670" s="13">
        <f t="shared" si="10"/>
        <v>-1.4267844977895402E-3</v>
      </c>
      <c r="E670" s="13">
        <f t="shared" si="10"/>
        <v>-1.1788935034292592E-2</v>
      </c>
      <c r="G670" s="4"/>
    </row>
    <row r="671" spans="1:7" x14ac:dyDescent="0.3">
      <c r="A671" s="25">
        <v>45126</v>
      </c>
      <c r="B671" s="13">
        <v>2423.75</v>
      </c>
      <c r="C671" s="13">
        <f>VLOOKUP(A:A,'Nifty 50 '!$A:$B,2,0)</f>
        <v>19833.150000000001</v>
      </c>
      <c r="D671" s="13">
        <f t="shared" si="10"/>
        <v>-1.6516985276635824E-3</v>
      </c>
      <c r="E671" s="13">
        <f t="shared" si="10"/>
        <v>7.3344496296331371E-3</v>
      </c>
      <c r="G671" s="4"/>
    </row>
    <row r="672" spans="1:7" x14ac:dyDescent="0.3">
      <c r="A672" s="25">
        <v>45125</v>
      </c>
      <c r="B672" s="13">
        <v>2416.9</v>
      </c>
      <c r="C672" s="13">
        <f>VLOOKUP(A:A,'Nifty 50 '!$A:$B,2,0)</f>
        <v>19749.25</v>
      </c>
      <c r="D672" s="13">
        <f t="shared" si="10"/>
        <v>2.8302003129305245E-3</v>
      </c>
      <c r="E672" s="13">
        <f t="shared" si="10"/>
        <v>4.2392642007422158E-3</v>
      </c>
      <c r="G672" s="4"/>
    </row>
    <row r="673" spans="1:7" x14ac:dyDescent="0.3">
      <c r="A673" s="25">
        <v>45124</v>
      </c>
      <c r="B673" s="13">
        <v>2408.5500000000002</v>
      </c>
      <c r="C673" s="13">
        <f>VLOOKUP(A:A,'Nifty 50 '!$A:$B,2,0)</f>
        <v>19711.45</v>
      </c>
      <c r="D673" s="13">
        <f t="shared" si="10"/>
        <v>3.4608205801276259E-3</v>
      </c>
      <c r="E673" s="13">
        <f t="shared" si="10"/>
        <v>1.9158307663970271E-3</v>
      </c>
      <c r="G673" s="4"/>
    </row>
    <row r="674" spans="1:7" x14ac:dyDescent="0.3">
      <c r="A674" s="25">
        <v>45121</v>
      </c>
      <c r="B674" s="13">
        <v>2376.1</v>
      </c>
      <c r="C674" s="13">
        <f>VLOOKUP(A:A,'Nifty 50 '!$A:$B,2,0)</f>
        <v>19564.5</v>
      </c>
      <c r="D674" s="13">
        <f t="shared" si="10"/>
        <v>1.3564418524836112E-2</v>
      </c>
      <c r="E674" s="13">
        <f t="shared" si="10"/>
        <v>7.4829856798224494E-3</v>
      </c>
      <c r="G674" s="4"/>
    </row>
    <row r="675" spans="1:7" x14ac:dyDescent="0.3">
      <c r="A675" s="25">
        <v>45120</v>
      </c>
      <c r="B675" s="13">
        <v>2362.0500000000002</v>
      </c>
      <c r="C675" s="13">
        <f>VLOOKUP(A:A,'Nifty 50 '!$A:$B,2,0)</f>
        <v>19413.75</v>
      </c>
      <c r="D675" s="13">
        <f t="shared" si="10"/>
        <v>5.9306021044390122E-3</v>
      </c>
      <c r="E675" s="13">
        <f t="shared" si="10"/>
        <v>7.735121594226721E-3</v>
      </c>
      <c r="G675" s="4"/>
    </row>
    <row r="676" spans="1:7" x14ac:dyDescent="0.3">
      <c r="A676" s="25">
        <v>45119</v>
      </c>
      <c r="B676" s="13">
        <v>2387.9</v>
      </c>
      <c r="C676" s="13">
        <f>VLOOKUP(A:A,'Nifty 50 '!$A:$B,2,0)</f>
        <v>19384.3</v>
      </c>
      <c r="D676" s="13">
        <f t="shared" si="10"/>
        <v>-1.0884432554237204E-2</v>
      </c>
      <c r="E676" s="13">
        <f t="shared" si="10"/>
        <v>1.5181178258223326E-3</v>
      </c>
      <c r="G676" s="4"/>
    </row>
    <row r="677" spans="1:7" x14ac:dyDescent="0.3">
      <c r="A677" s="25">
        <v>45118</v>
      </c>
      <c r="B677" s="13">
        <v>2422.9</v>
      </c>
      <c r="C677" s="13">
        <f>VLOOKUP(A:A,'Nifty 50 '!$A:$B,2,0)</f>
        <v>19439.400000000001</v>
      </c>
      <c r="D677" s="13">
        <f t="shared" si="10"/>
        <v>-1.4550851224617814E-2</v>
      </c>
      <c r="E677" s="13">
        <f t="shared" si="10"/>
        <v>-2.8384742821917232E-3</v>
      </c>
      <c r="G677" s="4"/>
    </row>
    <row r="678" spans="1:7" x14ac:dyDescent="0.3">
      <c r="A678" s="25">
        <v>45117</v>
      </c>
      <c r="B678" s="13">
        <v>2410.25</v>
      </c>
      <c r="C678" s="13">
        <f>VLOOKUP(A:A,'Nifty 50 '!$A:$B,2,0)</f>
        <v>19355.900000000001</v>
      </c>
      <c r="D678" s="13">
        <f t="shared" si="10"/>
        <v>5.2346932688935475E-3</v>
      </c>
      <c r="E678" s="13">
        <f t="shared" si="10"/>
        <v>4.3046517974119156E-3</v>
      </c>
      <c r="G678" s="4"/>
    </row>
    <row r="679" spans="1:7" x14ac:dyDescent="0.3">
      <c r="A679" s="25">
        <v>45114</v>
      </c>
      <c r="B679" s="13">
        <v>2379.6</v>
      </c>
      <c r="C679" s="13">
        <f>VLOOKUP(A:A,'Nifty 50 '!$A:$B,2,0)</f>
        <v>19331.8</v>
      </c>
      <c r="D679" s="13">
        <f t="shared" si="10"/>
        <v>1.27980702307391E-2</v>
      </c>
      <c r="E679" s="13">
        <f t="shared" si="10"/>
        <v>1.2458741727910268E-3</v>
      </c>
      <c r="G679" s="4"/>
    </row>
    <row r="680" spans="1:7" x14ac:dyDescent="0.3">
      <c r="A680" s="25">
        <v>45113</v>
      </c>
      <c r="B680" s="13">
        <v>2402.9</v>
      </c>
      <c r="C680" s="13">
        <f>VLOOKUP(A:A,'Nifty 50 '!$A:$B,2,0)</f>
        <v>19497.3</v>
      </c>
      <c r="D680" s="13">
        <f t="shared" si="10"/>
        <v>-9.7439349084486784E-3</v>
      </c>
      <c r="E680" s="13">
        <f t="shared" si="10"/>
        <v>-8.524586056305487E-3</v>
      </c>
      <c r="G680" s="4"/>
    </row>
    <row r="681" spans="1:7" x14ac:dyDescent="0.3">
      <c r="A681" s="25">
        <v>45112</v>
      </c>
      <c r="B681" s="13">
        <v>2399.15</v>
      </c>
      <c r="C681" s="13">
        <f>VLOOKUP(A:A,'Nifty 50 '!$A:$B,2,0)</f>
        <v>19398.5</v>
      </c>
      <c r="D681" s="13">
        <f t="shared" si="10"/>
        <v>1.5618332846548944E-3</v>
      </c>
      <c r="E681" s="13">
        <f t="shared" si="10"/>
        <v>5.0802509522156619E-3</v>
      </c>
      <c r="G681" s="4"/>
    </row>
    <row r="682" spans="1:7" x14ac:dyDescent="0.3">
      <c r="A682" s="25">
        <v>45111</v>
      </c>
      <c r="B682" s="13">
        <v>2387.6999999999998</v>
      </c>
      <c r="C682" s="13">
        <f>VLOOKUP(A:A,'Nifty 50 '!$A:$B,2,0)</f>
        <v>19389</v>
      </c>
      <c r="D682" s="13">
        <f t="shared" si="10"/>
        <v>4.7839484576310317E-3</v>
      </c>
      <c r="E682" s="13">
        <f t="shared" si="10"/>
        <v>4.8984854347202441E-4</v>
      </c>
      <c r="G682" s="4"/>
    </row>
    <row r="683" spans="1:7" x14ac:dyDescent="0.3">
      <c r="A683" s="25">
        <v>45110</v>
      </c>
      <c r="B683" s="13">
        <v>2385.5</v>
      </c>
      <c r="C683" s="13">
        <f>VLOOKUP(A:A,'Nifty 50 '!$A:$B,2,0)</f>
        <v>19322.55</v>
      </c>
      <c r="D683" s="13">
        <f t="shared" si="10"/>
        <v>9.2181352375159879E-4</v>
      </c>
      <c r="E683" s="13">
        <f t="shared" si="10"/>
        <v>3.4330872964505156E-3</v>
      </c>
      <c r="G683" s="4"/>
    </row>
    <row r="684" spans="1:7" x14ac:dyDescent="0.3">
      <c r="A684" s="25">
        <v>45107</v>
      </c>
      <c r="B684" s="13">
        <v>2388.0500000000002</v>
      </c>
      <c r="C684" s="13">
        <f>VLOOKUP(A:A,'Nifty 50 '!$A:$B,2,0)</f>
        <v>19189.05</v>
      </c>
      <c r="D684" s="13">
        <f t="shared" si="10"/>
        <v>-1.0683873605842776E-3</v>
      </c>
      <c r="E684" s="13">
        <f t="shared" si="10"/>
        <v>6.9330038087148356E-3</v>
      </c>
      <c r="G684" s="4"/>
    </row>
    <row r="685" spans="1:7" x14ac:dyDescent="0.3">
      <c r="A685" s="25">
        <v>45105</v>
      </c>
      <c r="B685" s="13">
        <v>2402</v>
      </c>
      <c r="C685" s="13">
        <f>VLOOKUP(A:A,'Nifty 50 '!$A:$B,2,0)</f>
        <v>18972.099999999999</v>
      </c>
      <c r="D685" s="13">
        <f t="shared" si="10"/>
        <v>-5.8245903231828079E-3</v>
      </c>
      <c r="E685" s="13">
        <f t="shared" si="10"/>
        <v>1.1370324916684512E-2</v>
      </c>
      <c r="G685" s="4"/>
    </row>
    <row r="686" spans="1:7" x14ac:dyDescent="0.3">
      <c r="A686" s="25">
        <v>45104</v>
      </c>
      <c r="B686" s="13">
        <v>2284.4499999999998</v>
      </c>
      <c r="C686" s="13">
        <f>VLOOKUP(A:A,'Nifty 50 '!$A:$B,2,0)</f>
        <v>18817.400000000001</v>
      </c>
      <c r="D686" s="13">
        <f t="shared" si="10"/>
        <v>5.0176428503389249E-2</v>
      </c>
      <c r="E686" s="13">
        <f t="shared" si="10"/>
        <v>8.1875052167941238E-3</v>
      </c>
      <c r="G686" s="4"/>
    </row>
    <row r="687" spans="1:7" x14ac:dyDescent="0.3">
      <c r="A687" s="25">
        <v>45103</v>
      </c>
      <c r="B687" s="13">
        <v>2295.6</v>
      </c>
      <c r="C687" s="13">
        <f>VLOOKUP(A:A,'Nifty 50 '!$A:$B,2,0)</f>
        <v>18691.2</v>
      </c>
      <c r="D687" s="13">
        <f t="shared" si="10"/>
        <v>-4.8689520976677976E-3</v>
      </c>
      <c r="E687" s="13">
        <f t="shared" si="10"/>
        <v>6.729148846371014E-3</v>
      </c>
      <c r="G687" s="4"/>
    </row>
    <row r="688" spans="1:7" x14ac:dyDescent="0.3">
      <c r="A688" s="25">
        <v>45100</v>
      </c>
      <c r="B688" s="13">
        <v>2233.5500000000002</v>
      </c>
      <c r="C688" s="13">
        <f>VLOOKUP(A:A,'Nifty 50 '!$A:$B,2,0)</f>
        <v>18665.5</v>
      </c>
      <c r="D688" s="13">
        <f t="shared" si="10"/>
        <v>2.7401999303529944E-2</v>
      </c>
      <c r="E688" s="13">
        <f t="shared" si="10"/>
        <v>1.3759247500199831E-3</v>
      </c>
      <c r="G688" s="4"/>
    </row>
    <row r="689" spans="1:7" x14ac:dyDescent="0.3">
      <c r="A689" s="25">
        <v>45099</v>
      </c>
      <c r="B689" s="13">
        <v>2397.25</v>
      </c>
      <c r="C689" s="13">
        <f>VLOOKUP(A:A,'Nifty 50 '!$A:$B,2,0)</f>
        <v>18771.25</v>
      </c>
      <c r="D689" s="13">
        <f t="shared" si="10"/>
        <v>-7.0729999103113186E-2</v>
      </c>
      <c r="E689" s="13">
        <f t="shared" si="10"/>
        <v>-5.6495438985202338E-3</v>
      </c>
      <c r="G689" s="4"/>
    </row>
    <row r="690" spans="1:7" x14ac:dyDescent="0.3">
      <c r="A690" s="25">
        <v>45098</v>
      </c>
      <c r="B690" s="13">
        <v>2405.9499999999998</v>
      </c>
      <c r="C690" s="13">
        <f>VLOOKUP(A:A,'Nifty 50 '!$A:$B,2,0)</f>
        <v>18856.849999999999</v>
      </c>
      <c r="D690" s="13">
        <f t="shared" si="10"/>
        <v>-3.6225889050140545E-3</v>
      </c>
      <c r="E690" s="13">
        <f t="shared" si="10"/>
        <v>-4.5497990950773125E-3</v>
      </c>
      <c r="G690" s="4"/>
    </row>
    <row r="691" spans="1:7" x14ac:dyDescent="0.3">
      <c r="A691" s="25">
        <v>45097</v>
      </c>
      <c r="B691" s="13">
        <v>2414.8000000000002</v>
      </c>
      <c r="C691" s="13">
        <f>VLOOKUP(A:A,'Nifty 50 '!$A:$B,2,0)</f>
        <v>18816.7</v>
      </c>
      <c r="D691" s="13">
        <f t="shared" si="10"/>
        <v>-3.6716319834665875E-3</v>
      </c>
      <c r="E691" s="13">
        <f t="shared" si="10"/>
        <v>2.1314697022533084E-3</v>
      </c>
      <c r="G691" s="4"/>
    </row>
    <row r="692" spans="1:7" x14ac:dyDescent="0.3">
      <c r="A692" s="25">
        <v>45096</v>
      </c>
      <c r="B692" s="13">
        <v>2401.4</v>
      </c>
      <c r="C692" s="13">
        <f>VLOOKUP(A:A,'Nifty 50 '!$A:$B,2,0)</f>
        <v>18755.45</v>
      </c>
      <c r="D692" s="13">
        <f t="shared" si="10"/>
        <v>5.5645673256535435E-3</v>
      </c>
      <c r="E692" s="13">
        <f t="shared" si="10"/>
        <v>3.2603965574623172E-3</v>
      </c>
      <c r="G692" s="4"/>
    </row>
    <row r="693" spans="1:7" x14ac:dyDescent="0.3">
      <c r="A693" s="25">
        <v>45093</v>
      </c>
      <c r="B693" s="13">
        <v>2509.6</v>
      </c>
      <c r="C693" s="13">
        <f>VLOOKUP(A:A,'Nifty 50 '!$A:$B,2,0)</f>
        <v>18826</v>
      </c>
      <c r="D693" s="13">
        <f t="shared" si="10"/>
        <v>-4.4071477279850717E-2</v>
      </c>
      <c r="E693" s="13">
        <f t="shared" si="10"/>
        <v>-3.7545162773133895E-3</v>
      </c>
      <c r="G693" s="4"/>
    </row>
    <row r="694" spans="1:7" x14ac:dyDescent="0.3">
      <c r="A694" s="25">
        <v>45092</v>
      </c>
      <c r="B694" s="13">
        <v>2485.65</v>
      </c>
      <c r="C694" s="13">
        <f>VLOOKUP(A:A,'Nifty 50 '!$A:$B,2,0)</f>
        <v>18688.099999999999</v>
      </c>
      <c r="D694" s="13">
        <f t="shared" si="10"/>
        <v>9.5891831325558875E-3</v>
      </c>
      <c r="E694" s="13">
        <f t="shared" si="10"/>
        <v>7.3519354661314941E-3</v>
      </c>
      <c r="G694" s="4"/>
    </row>
    <row r="695" spans="1:7" x14ac:dyDescent="0.3">
      <c r="A695" s="25">
        <v>45091</v>
      </c>
      <c r="B695" s="13">
        <v>2457.15</v>
      </c>
      <c r="C695" s="13">
        <f>VLOOKUP(A:A,'Nifty 50 '!$A:$B,2,0)</f>
        <v>18755.900000000001</v>
      </c>
      <c r="D695" s="13">
        <f t="shared" si="10"/>
        <v>1.1532053025162529E-2</v>
      </c>
      <c r="E695" s="13">
        <f t="shared" si="10"/>
        <v>-3.6214119270170913E-3</v>
      </c>
      <c r="G695" s="4"/>
    </row>
    <row r="696" spans="1:7" x14ac:dyDescent="0.3">
      <c r="A696" s="25">
        <v>45090</v>
      </c>
      <c r="B696" s="13">
        <v>2462.5500000000002</v>
      </c>
      <c r="C696" s="13">
        <f>VLOOKUP(A:A,'Nifty 50 '!$A:$B,2,0)</f>
        <v>18716.150000000001</v>
      </c>
      <c r="D696" s="13">
        <f t="shared" si="10"/>
        <v>-2.1952566898869098E-3</v>
      </c>
      <c r="E696" s="13">
        <f t="shared" si="10"/>
        <v>2.1215820810404676E-3</v>
      </c>
      <c r="G696" s="4"/>
    </row>
    <row r="697" spans="1:7" x14ac:dyDescent="0.3">
      <c r="A697" s="25">
        <v>45089</v>
      </c>
      <c r="B697" s="13">
        <v>2484.8000000000002</v>
      </c>
      <c r="C697" s="13">
        <f>VLOOKUP(A:A,'Nifty 50 '!$A:$B,2,0)</f>
        <v>18601.5</v>
      </c>
      <c r="D697" s="13">
        <f t="shared" si="10"/>
        <v>-8.9947749857857209E-3</v>
      </c>
      <c r="E697" s="13">
        <f t="shared" si="10"/>
        <v>6.1445648760739416E-3</v>
      </c>
      <c r="G697" s="4"/>
    </row>
    <row r="698" spans="1:7" x14ac:dyDescent="0.3">
      <c r="A698" s="25">
        <v>45086</v>
      </c>
      <c r="B698" s="13">
        <v>2451.15</v>
      </c>
      <c r="C698" s="13">
        <f>VLOOKUP(A:A,'Nifty 50 '!$A:$B,2,0)</f>
        <v>18563.400000000001</v>
      </c>
      <c r="D698" s="13">
        <f t="shared" si="10"/>
        <v>1.3634871228519814E-2</v>
      </c>
      <c r="E698" s="13">
        <f t="shared" si="10"/>
        <v>2.0503223927487504E-3</v>
      </c>
      <c r="G698" s="4"/>
    </row>
    <row r="699" spans="1:7" x14ac:dyDescent="0.3">
      <c r="A699" s="25">
        <v>45085</v>
      </c>
      <c r="B699" s="13">
        <v>2429.15</v>
      </c>
      <c r="C699" s="13">
        <f>VLOOKUP(A:A,'Nifty 50 '!$A:$B,2,0)</f>
        <v>18634.55</v>
      </c>
      <c r="D699" s="13">
        <f t="shared" si="10"/>
        <v>9.0159002622666913E-3</v>
      </c>
      <c r="E699" s="13">
        <f t="shared" si="10"/>
        <v>-3.8254842952022451E-3</v>
      </c>
      <c r="G699" s="4"/>
    </row>
    <row r="700" spans="1:7" x14ac:dyDescent="0.3">
      <c r="A700" s="25">
        <v>45084</v>
      </c>
      <c r="B700" s="13">
        <v>2439.5500000000002</v>
      </c>
      <c r="C700" s="13">
        <f>VLOOKUP(A:A,'Nifty 50 '!$A:$B,2,0)</f>
        <v>18726.400000000001</v>
      </c>
      <c r="D700" s="13">
        <f t="shared" si="10"/>
        <v>-4.2721941454950214E-3</v>
      </c>
      <c r="E700" s="13">
        <f t="shared" si="10"/>
        <v>-4.9169084323055657E-3</v>
      </c>
      <c r="G700" s="4"/>
    </row>
    <row r="701" spans="1:7" x14ac:dyDescent="0.3">
      <c r="A701" s="25">
        <v>45083</v>
      </c>
      <c r="B701" s="13">
        <v>2433.65</v>
      </c>
      <c r="C701" s="13">
        <f>VLOOKUP(A:A,'Nifty 50 '!$A:$B,2,0)</f>
        <v>18599</v>
      </c>
      <c r="D701" s="13">
        <f t="shared" si="10"/>
        <v>2.4214080615400143E-3</v>
      </c>
      <c r="E701" s="13">
        <f t="shared" si="10"/>
        <v>6.826477130569099E-3</v>
      </c>
      <c r="G701" s="4"/>
    </row>
    <row r="702" spans="1:7" x14ac:dyDescent="0.3">
      <c r="A702" s="25">
        <v>45082</v>
      </c>
      <c r="B702" s="13">
        <v>2433.9499999999998</v>
      </c>
      <c r="C702" s="13">
        <f>VLOOKUP(A:A,'Nifty 50 '!$A:$B,2,0)</f>
        <v>18593.849999999999</v>
      </c>
      <c r="D702" s="13">
        <f t="shared" si="10"/>
        <v>-1.2326403171160656E-4</v>
      </c>
      <c r="E702" s="13">
        <f t="shared" si="10"/>
        <v>2.7693495028842678E-4</v>
      </c>
      <c r="G702" s="4"/>
    </row>
    <row r="703" spans="1:7" x14ac:dyDescent="0.3">
      <c r="A703" s="25">
        <v>45079</v>
      </c>
      <c r="B703" s="13">
        <v>2445.0500000000002</v>
      </c>
      <c r="C703" s="13">
        <f>VLOOKUP(A:A,'Nifty 50 '!$A:$B,2,0)</f>
        <v>18534.099999999999</v>
      </c>
      <c r="D703" s="13">
        <f t="shared" si="10"/>
        <v>-4.5501205783239525E-3</v>
      </c>
      <c r="E703" s="13">
        <f t="shared" si="10"/>
        <v>3.2186022433864751E-3</v>
      </c>
      <c r="G703" s="4"/>
    </row>
    <row r="704" spans="1:7" x14ac:dyDescent="0.3">
      <c r="A704" s="25">
        <v>45078</v>
      </c>
      <c r="B704" s="13">
        <v>2492.15</v>
      </c>
      <c r="C704" s="13">
        <f>VLOOKUP(A:A,'Nifty 50 '!$A:$B,2,0)</f>
        <v>18487.75</v>
      </c>
      <c r="D704" s="13">
        <f t="shared" si="10"/>
        <v>-1.9080219114586704E-2</v>
      </c>
      <c r="E704" s="13">
        <f t="shared" si="10"/>
        <v>2.5039280433874476E-3</v>
      </c>
      <c r="G704" s="4"/>
    </row>
    <row r="705" spans="1:7" x14ac:dyDescent="0.3">
      <c r="A705" s="25">
        <v>45077</v>
      </c>
      <c r="B705" s="13">
        <v>2493.35</v>
      </c>
      <c r="C705" s="13">
        <f>VLOOKUP(A:A,'Nifty 50 '!$A:$B,2,0)</f>
        <v>18534.400000000001</v>
      </c>
      <c r="D705" s="13">
        <f t="shared" si="10"/>
        <v>-4.8139605783729586E-4</v>
      </c>
      <c r="E705" s="13">
        <f t="shared" si="10"/>
        <v>-2.5201142931687418E-3</v>
      </c>
      <c r="G705" s="4"/>
    </row>
    <row r="706" spans="1:7" x14ac:dyDescent="0.3">
      <c r="A706" s="25">
        <v>45076</v>
      </c>
      <c r="B706" s="13">
        <v>2496.4499999999998</v>
      </c>
      <c r="C706" s="13">
        <f>VLOOKUP(A:A,'Nifty 50 '!$A:$B,2,0)</f>
        <v>18633.849999999999</v>
      </c>
      <c r="D706" s="13">
        <f t="shared" si="10"/>
        <v>-1.2425349307943806E-3</v>
      </c>
      <c r="E706" s="13">
        <f t="shared" si="10"/>
        <v>-5.3513543052989016E-3</v>
      </c>
      <c r="G706" s="4"/>
    </row>
    <row r="707" spans="1:7" x14ac:dyDescent="0.3">
      <c r="A707" s="25">
        <v>45075</v>
      </c>
      <c r="B707" s="13">
        <v>2534.0500000000002</v>
      </c>
      <c r="C707" s="13">
        <f>VLOOKUP(A:A,'Nifty 50 '!$A:$B,2,0)</f>
        <v>18598.650000000001</v>
      </c>
      <c r="D707" s="13">
        <f t="shared" si="10"/>
        <v>-1.4949090635138806E-2</v>
      </c>
      <c r="E707" s="13">
        <f t="shared" si="10"/>
        <v>1.8908217545032591E-3</v>
      </c>
      <c r="G707" s="4"/>
    </row>
    <row r="708" spans="1:7" x14ac:dyDescent="0.3">
      <c r="A708" s="25">
        <v>45072</v>
      </c>
      <c r="B708" s="13">
        <v>2544.35</v>
      </c>
      <c r="C708" s="13">
        <f>VLOOKUP(A:A,'Nifty 50 '!$A:$B,2,0)</f>
        <v>18499.349999999999</v>
      </c>
      <c r="D708" s="13">
        <f t="shared" ref="D708:E771" si="11">LN(B707/B708)</f>
        <v>-4.0564012773111596E-3</v>
      </c>
      <c r="E708" s="13">
        <f t="shared" si="11"/>
        <v>5.3534011080012102E-3</v>
      </c>
      <c r="G708" s="4"/>
    </row>
    <row r="709" spans="1:7" x14ac:dyDescent="0.3">
      <c r="A709" s="25">
        <v>45071</v>
      </c>
      <c r="B709" s="13">
        <v>2537.4499999999998</v>
      </c>
      <c r="C709" s="13">
        <f>VLOOKUP(A:A,'Nifty 50 '!$A:$B,2,0)</f>
        <v>18321.150000000001</v>
      </c>
      <c r="D709" s="13">
        <f t="shared" si="11"/>
        <v>2.7155748908848035E-3</v>
      </c>
      <c r="E709" s="13">
        <f t="shared" si="11"/>
        <v>9.6794661302798419E-3</v>
      </c>
      <c r="G709" s="4"/>
    </row>
    <row r="710" spans="1:7" x14ac:dyDescent="0.3">
      <c r="A710" s="25">
        <v>45070</v>
      </c>
      <c r="B710" s="13">
        <v>2475.6</v>
      </c>
      <c r="C710" s="13">
        <f>VLOOKUP(A:A,'Nifty 50 '!$A:$B,2,0)</f>
        <v>18285.400000000001</v>
      </c>
      <c r="D710" s="13">
        <f t="shared" si="11"/>
        <v>2.4676848857203903E-2</v>
      </c>
      <c r="E710" s="13">
        <f t="shared" si="11"/>
        <v>1.953202985013659E-3</v>
      </c>
      <c r="G710" s="4"/>
    </row>
    <row r="711" spans="1:7" x14ac:dyDescent="0.3">
      <c r="A711" s="25">
        <v>45069</v>
      </c>
      <c r="B711" s="13">
        <v>2633.7</v>
      </c>
      <c r="C711" s="13">
        <f>VLOOKUP(A:A,'Nifty 50 '!$A:$B,2,0)</f>
        <v>18348</v>
      </c>
      <c r="D711" s="13">
        <f t="shared" si="11"/>
        <v>-6.1906910735066323E-2</v>
      </c>
      <c r="E711" s="13">
        <f t="shared" si="11"/>
        <v>-3.4176495183284154E-3</v>
      </c>
      <c r="G711" s="4"/>
    </row>
    <row r="712" spans="1:7" x14ac:dyDescent="0.3">
      <c r="A712" s="25">
        <v>45068</v>
      </c>
      <c r="B712" s="13">
        <v>2326.1</v>
      </c>
      <c r="C712" s="13">
        <f>VLOOKUP(A:A,'Nifty 50 '!$A:$B,2,0)</f>
        <v>18314.400000000001</v>
      </c>
      <c r="D712" s="13">
        <f t="shared" si="11"/>
        <v>0.12419665618441086</v>
      </c>
      <c r="E712" s="13">
        <f t="shared" si="11"/>
        <v>1.8329410735294929E-3</v>
      </c>
      <c r="G712" s="4"/>
    </row>
    <row r="713" spans="1:7" x14ac:dyDescent="0.3">
      <c r="A713" s="25">
        <v>45065</v>
      </c>
      <c r="B713" s="13">
        <v>1956.05</v>
      </c>
      <c r="C713" s="13">
        <f>VLOOKUP(A:A,'Nifty 50 '!$A:$B,2,0)</f>
        <v>18203.400000000001</v>
      </c>
      <c r="D713" s="13">
        <f t="shared" si="11"/>
        <v>0.17326591177562295</v>
      </c>
      <c r="E713" s="13">
        <f t="shared" si="11"/>
        <v>6.0792458392437739E-3</v>
      </c>
      <c r="G713" s="4"/>
    </row>
    <row r="714" spans="1:7" x14ac:dyDescent="0.3">
      <c r="A714" s="25">
        <v>45064</v>
      </c>
      <c r="B714" s="13">
        <v>1890</v>
      </c>
      <c r="C714" s="13">
        <f>VLOOKUP(A:A,'Nifty 50 '!$A:$B,2,0)</f>
        <v>18129.95</v>
      </c>
      <c r="D714" s="13">
        <f t="shared" si="11"/>
        <v>3.4350304586550744E-2</v>
      </c>
      <c r="E714" s="13">
        <f t="shared" si="11"/>
        <v>4.0431229190964193E-3</v>
      </c>
      <c r="G714" s="4"/>
    </row>
    <row r="715" spans="1:7" x14ac:dyDescent="0.3">
      <c r="A715" s="25">
        <v>45063</v>
      </c>
      <c r="B715" s="13">
        <v>1899.5</v>
      </c>
      <c r="C715" s="13">
        <f>VLOOKUP(A:A,'Nifty 50 '!$A:$B,2,0)</f>
        <v>18181.75</v>
      </c>
      <c r="D715" s="13">
        <f t="shared" si="11"/>
        <v>-5.0138645739921991E-3</v>
      </c>
      <c r="E715" s="13">
        <f t="shared" si="11"/>
        <v>-2.8530768395788001E-3</v>
      </c>
      <c r="G715" s="4"/>
    </row>
    <row r="716" spans="1:7" x14ac:dyDescent="0.3">
      <c r="A716" s="25">
        <v>45062</v>
      </c>
      <c r="B716" s="13">
        <v>1889.15</v>
      </c>
      <c r="C716" s="13">
        <f>VLOOKUP(A:A,'Nifty 50 '!$A:$B,2,0)</f>
        <v>18286.5</v>
      </c>
      <c r="D716" s="13">
        <f t="shared" si="11"/>
        <v>5.4637011850467059E-3</v>
      </c>
      <c r="E716" s="13">
        <f t="shared" si="11"/>
        <v>-5.7447389485387043E-3</v>
      </c>
      <c r="G716" s="4"/>
    </row>
    <row r="717" spans="1:7" x14ac:dyDescent="0.3">
      <c r="A717" s="25">
        <v>45061</v>
      </c>
      <c r="B717" s="13">
        <v>1916.05</v>
      </c>
      <c r="C717" s="13">
        <f>VLOOKUP(A:A,'Nifty 50 '!$A:$B,2,0)</f>
        <v>18398.849999999999</v>
      </c>
      <c r="D717" s="13">
        <f t="shared" si="11"/>
        <v>-1.413878278107958E-2</v>
      </c>
      <c r="E717" s="13">
        <f t="shared" si="11"/>
        <v>-6.1250799705598689E-3</v>
      </c>
      <c r="G717" s="4"/>
    </row>
    <row r="718" spans="1:7" x14ac:dyDescent="0.3">
      <c r="A718" s="25">
        <v>45058</v>
      </c>
      <c r="B718" s="13">
        <v>1964.7</v>
      </c>
      <c r="C718" s="13">
        <f>VLOOKUP(A:A,'Nifty 50 '!$A:$B,2,0)</f>
        <v>18314.8</v>
      </c>
      <c r="D718" s="13">
        <f t="shared" si="11"/>
        <v>-2.5073786668404412E-2</v>
      </c>
      <c r="E718" s="13">
        <f t="shared" si="11"/>
        <v>4.5786865014996328E-3</v>
      </c>
      <c r="G718" s="4"/>
    </row>
    <row r="719" spans="1:7" x14ac:dyDescent="0.3">
      <c r="A719" s="25">
        <v>45057</v>
      </c>
      <c r="B719" s="13">
        <v>1984.65</v>
      </c>
      <c r="C719" s="13">
        <f>VLOOKUP(A:A,'Nifty 50 '!$A:$B,2,0)</f>
        <v>18297</v>
      </c>
      <c r="D719" s="13">
        <f t="shared" si="11"/>
        <v>-1.0103014264412123E-2</v>
      </c>
      <c r="E719" s="13">
        <f t="shared" si="11"/>
        <v>9.723641778049823E-4</v>
      </c>
      <c r="G719" s="4"/>
    </row>
    <row r="720" spans="1:7" x14ac:dyDescent="0.3">
      <c r="A720" s="25">
        <v>45056</v>
      </c>
      <c r="B720" s="13">
        <v>1892.15</v>
      </c>
      <c r="C720" s="13">
        <f>VLOOKUP(A:A,'Nifty 50 '!$A:$B,2,0)</f>
        <v>18315.099999999999</v>
      </c>
      <c r="D720" s="13">
        <f t="shared" si="11"/>
        <v>4.7728827503360771E-2</v>
      </c>
      <c r="E720" s="13">
        <f t="shared" si="11"/>
        <v>-9.8874423890292907E-4</v>
      </c>
      <c r="G720" s="4"/>
    </row>
    <row r="721" spans="1:7" x14ac:dyDescent="0.3">
      <c r="A721" s="25">
        <v>45055</v>
      </c>
      <c r="B721" s="13">
        <v>1896.1</v>
      </c>
      <c r="C721" s="13">
        <f>VLOOKUP(A:A,'Nifty 50 '!$A:$B,2,0)</f>
        <v>18265.95</v>
      </c>
      <c r="D721" s="13">
        <f t="shared" si="11"/>
        <v>-2.0853963869889775E-3</v>
      </c>
      <c r="E721" s="13">
        <f t="shared" si="11"/>
        <v>2.6871852817707963E-3</v>
      </c>
      <c r="G721" s="4"/>
    </row>
    <row r="722" spans="1:7" x14ac:dyDescent="0.3">
      <c r="A722" s="25">
        <v>45054</v>
      </c>
      <c r="B722" s="13">
        <v>1887.5</v>
      </c>
      <c r="C722" s="13">
        <f>VLOOKUP(A:A,'Nifty 50 '!$A:$B,2,0)</f>
        <v>18264.400000000001</v>
      </c>
      <c r="D722" s="13">
        <f t="shared" si="11"/>
        <v>4.5459429169781946E-3</v>
      </c>
      <c r="E722" s="13">
        <f t="shared" si="11"/>
        <v>8.4860944443795967E-5</v>
      </c>
      <c r="G722" s="4"/>
    </row>
    <row r="723" spans="1:7" x14ac:dyDescent="0.3">
      <c r="A723" s="25">
        <v>45051</v>
      </c>
      <c r="B723" s="13">
        <v>1920.3</v>
      </c>
      <c r="C723" s="13">
        <f>VLOOKUP(A:A,'Nifty 50 '!$A:$B,2,0)</f>
        <v>18069</v>
      </c>
      <c r="D723" s="13">
        <f t="shared" si="11"/>
        <v>-1.7228221692887621E-2</v>
      </c>
      <c r="E723" s="13">
        <f t="shared" si="11"/>
        <v>1.075604726542361E-2</v>
      </c>
      <c r="G723" s="4"/>
    </row>
    <row r="724" spans="1:7" x14ac:dyDescent="0.3">
      <c r="A724" s="25">
        <v>45050</v>
      </c>
      <c r="B724" s="13">
        <v>1911.25</v>
      </c>
      <c r="C724" s="13">
        <f>VLOOKUP(A:A,'Nifty 50 '!$A:$B,2,0)</f>
        <v>18255.8</v>
      </c>
      <c r="D724" s="13">
        <f t="shared" si="11"/>
        <v>4.7239455727953149E-3</v>
      </c>
      <c r="E724" s="13">
        <f t="shared" si="11"/>
        <v>-1.0285075027649962E-2</v>
      </c>
      <c r="G724" s="4"/>
    </row>
    <row r="725" spans="1:7" x14ac:dyDescent="0.3">
      <c r="A725" s="25">
        <v>45049</v>
      </c>
      <c r="B725" s="13">
        <v>1839</v>
      </c>
      <c r="C725" s="13">
        <f>VLOOKUP(A:A,'Nifty 50 '!$A:$B,2,0)</f>
        <v>18089.849999999999</v>
      </c>
      <c r="D725" s="13">
        <f t="shared" si="11"/>
        <v>3.853553263895098E-2</v>
      </c>
      <c r="E725" s="13">
        <f t="shared" si="11"/>
        <v>9.1318302584812369E-3</v>
      </c>
      <c r="G725" s="4"/>
    </row>
    <row r="726" spans="1:7" x14ac:dyDescent="0.3">
      <c r="A726" s="25">
        <v>45048</v>
      </c>
      <c r="B726" s="13">
        <v>1919.85</v>
      </c>
      <c r="C726" s="13">
        <f>VLOOKUP(A:A,'Nifty 50 '!$A:$B,2,0)</f>
        <v>18147.650000000001</v>
      </c>
      <c r="D726" s="13">
        <f t="shared" si="11"/>
        <v>-4.3025112365589285E-2</v>
      </c>
      <c r="E726" s="13">
        <f t="shared" si="11"/>
        <v>-3.190068245158949E-3</v>
      </c>
      <c r="G726" s="4"/>
    </row>
    <row r="727" spans="1:7" x14ac:dyDescent="0.3">
      <c r="A727" s="25">
        <v>45044</v>
      </c>
      <c r="B727" s="13">
        <v>1924.95</v>
      </c>
      <c r="C727" s="13">
        <f>VLOOKUP(A:A,'Nifty 50 '!$A:$B,2,0)</f>
        <v>18065</v>
      </c>
      <c r="D727" s="13">
        <f t="shared" si="11"/>
        <v>-2.652935388669321E-3</v>
      </c>
      <c r="E727" s="13">
        <f t="shared" si="11"/>
        <v>4.564711144417706E-3</v>
      </c>
      <c r="G727" s="4"/>
    </row>
    <row r="728" spans="1:7" x14ac:dyDescent="0.3">
      <c r="A728" s="25">
        <v>45043</v>
      </c>
      <c r="B728" s="13">
        <v>1853.05</v>
      </c>
      <c r="C728" s="13">
        <f>VLOOKUP(A:A,'Nifty 50 '!$A:$B,2,0)</f>
        <v>17915.05</v>
      </c>
      <c r="D728" s="13">
        <f t="shared" si="11"/>
        <v>3.8067063166889507E-2</v>
      </c>
      <c r="E728" s="13">
        <f t="shared" si="11"/>
        <v>8.3352228892828832E-3</v>
      </c>
      <c r="G728" s="4"/>
    </row>
    <row r="729" spans="1:7" x14ac:dyDescent="0.3">
      <c r="A729" s="25">
        <v>45042</v>
      </c>
      <c r="B729" s="13">
        <v>1847.9</v>
      </c>
      <c r="C729" s="13">
        <f>VLOOKUP(A:A,'Nifty 50 '!$A:$B,2,0)</f>
        <v>17813.599999999999</v>
      </c>
      <c r="D729" s="13">
        <f t="shared" si="11"/>
        <v>2.783071008310282E-3</v>
      </c>
      <c r="E729" s="13">
        <f t="shared" si="11"/>
        <v>5.6789312022102979E-3</v>
      </c>
      <c r="G729" s="4"/>
    </row>
    <row r="730" spans="1:7" x14ac:dyDescent="0.3">
      <c r="A730" s="25">
        <v>45041</v>
      </c>
      <c r="B730" s="13">
        <v>1844.6</v>
      </c>
      <c r="C730" s="13">
        <f>VLOOKUP(A:A,'Nifty 50 '!$A:$B,2,0)</f>
        <v>17769.25</v>
      </c>
      <c r="D730" s="13">
        <f t="shared" si="11"/>
        <v>1.7874073817613441E-3</v>
      </c>
      <c r="E730" s="13">
        <f t="shared" si="11"/>
        <v>2.4927751973571103E-3</v>
      </c>
      <c r="G730" s="4"/>
    </row>
    <row r="731" spans="1:7" x14ac:dyDescent="0.3">
      <c r="A731" s="25">
        <v>45040</v>
      </c>
      <c r="B731" s="13">
        <v>1801.95</v>
      </c>
      <c r="C731" s="13">
        <f>VLOOKUP(A:A,'Nifty 50 '!$A:$B,2,0)</f>
        <v>17743.400000000001</v>
      </c>
      <c r="D731" s="13">
        <f t="shared" si="11"/>
        <v>2.3393039966124608E-2</v>
      </c>
      <c r="E731" s="13">
        <f t="shared" si="11"/>
        <v>1.4558195215261978E-3</v>
      </c>
      <c r="G731" s="4"/>
    </row>
    <row r="732" spans="1:7" x14ac:dyDescent="0.3">
      <c r="A732" s="25">
        <v>45037</v>
      </c>
      <c r="B732" s="13">
        <v>1803</v>
      </c>
      <c r="C732" s="13">
        <f>VLOOKUP(A:A,'Nifty 50 '!$A:$B,2,0)</f>
        <v>17624.05</v>
      </c>
      <c r="D732" s="13">
        <f t="shared" si="11"/>
        <v>-5.8253236782341796E-4</v>
      </c>
      <c r="E732" s="13">
        <f t="shared" si="11"/>
        <v>6.7491692528103258E-3</v>
      </c>
      <c r="G732" s="4"/>
    </row>
    <row r="733" spans="1:7" x14ac:dyDescent="0.3">
      <c r="A733" s="25">
        <v>45036</v>
      </c>
      <c r="B733" s="13">
        <v>1842.9</v>
      </c>
      <c r="C733" s="13">
        <f>VLOOKUP(A:A,'Nifty 50 '!$A:$B,2,0)</f>
        <v>17624.45</v>
      </c>
      <c r="D733" s="13">
        <f t="shared" si="11"/>
        <v>-2.1888473634674211E-2</v>
      </c>
      <c r="E733" s="13">
        <f t="shared" si="11"/>
        <v>-2.2696001249353279E-5</v>
      </c>
      <c r="G733" s="4"/>
    </row>
    <row r="734" spans="1:7" x14ac:dyDescent="0.3">
      <c r="A734" s="25">
        <v>45035</v>
      </c>
      <c r="B734" s="13">
        <v>1853.85</v>
      </c>
      <c r="C734" s="13">
        <f>VLOOKUP(A:A,'Nifty 50 '!$A:$B,2,0)</f>
        <v>17618.75</v>
      </c>
      <c r="D734" s="13">
        <f t="shared" si="11"/>
        <v>-5.9241398658626578E-3</v>
      </c>
      <c r="E734" s="13">
        <f t="shared" si="11"/>
        <v>3.2346665738081727E-4</v>
      </c>
      <c r="G734" s="4"/>
    </row>
    <row r="735" spans="1:7" x14ac:dyDescent="0.3">
      <c r="A735" s="25">
        <v>45034</v>
      </c>
      <c r="B735" s="13">
        <v>1850.95</v>
      </c>
      <c r="C735" s="13">
        <f>VLOOKUP(A:A,'Nifty 50 '!$A:$B,2,0)</f>
        <v>17660.150000000001</v>
      </c>
      <c r="D735" s="13">
        <f t="shared" si="11"/>
        <v>1.5655369209145945E-3</v>
      </c>
      <c r="E735" s="13">
        <f t="shared" si="11"/>
        <v>-2.3470130306909674E-3</v>
      </c>
      <c r="G735" s="4"/>
    </row>
    <row r="736" spans="1:7" x14ac:dyDescent="0.3">
      <c r="A736" s="25">
        <v>45033</v>
      </c>
      <c r="B736" s="13">
        <v>1878.75</v>
      </c>
      <c r="C736" s="13">
        <f>VLOOKUP(A:A,'Nifty 50 '!$A:$B,2,0)</f>
        <v>17706.849999999999</v>
      </c>
      <c r="D736" s="13">
        <f t="shared" si="11"/>
        <v>-1.4907641284244726E-2</v>
      </c>
      <c r="E736" s="13">
        <f t="shared" si="11"/>
        <v>-2.6408814511533168E-3</v>
      </c>
      <c r="G736" s="4"/>
    </row>
    <row r="737" spans="1:7" x14ac:dyDescent="0.3">
      <c r="A737" s="25">
        <v>45029</v>
      </c>
      <c r="B737" s="13">
        <v>1870.75</v>
      </c>
      <c r="C737" s="13">
        <f>VLOOKUP(A:A,'Nifty 50 '!$A:$B,2,0)</f>
        <v>17828</v>
      </c>
      <c r="D737" s="13">
        <f t="shared" si="11"/>
        <v>4.2672421067163051E-3</v>
      </c>
      <c r="E737" s="13">
        <f t="shared" si="11"/>
        <v>-6.8186847221795004E-3</v>
      </c>
      <c r="G737" s="4"/>
    </row>
    <row r="738" spans="1:7" x14ac:dyDescent="0.3">
      <c r="A738" s="25">
        <v>45028</v>
      </c>
      <c r="B738" s="13">
        <v>1847.25</v>
      </c>
      <c r="C738" s="13">
        <f>VLOOKUP(A:A,'Nifty 50 '!$A:$B,2,0)</f>
        <v>17812.400000000001</v>
      </c>
      <c r="D738" s="13">
        <f t="shared" si="11"/>
        <v>1.2641373291710922E-2</v>
      </c>
      <c r="E738" s="13">
        <f t="shared" si="11"/>
        <v>8.7541110628643569E-4</v>
      </c>
      <c r="G738" s="4"/>
    </row>
    <row r="739" spans="1:7" x14ac:dyDescent="0.3">
      <c r="A739" s="25">
        <v>45027</v>
      </c>
      <c r="B739" s="13">
        <v>1803.15</v>
      </c>
      <c r="C739" s="13">
        <f>VLOOKUP(A:A,'Nifty 50 '!$A:$B,2,0)</f>
        <v>17722.3</v>
      </c>
      <c r="D739" s="13">
        <f t="shared" si="11"/>
        <v>2.4162911250383935E-2</v>
      </c>
      <c r="E739" s="13">
        <f t="shared" si="11"/>
        <v>5.0711103842399786E-3</v>
      </c>
      <c r="G739" s="4"/>
    </row>
    <row r="740" spans="1:7" x14ac:dyDescent="0.3">
      <c r="A740" s="25">
        <v>45026</v>
      </c>
      <c r="B740" s="13">
        <v>1797.25</v>
      </c>
      <c r="C740" s="13">
        <f>VLOOKUP(A:A,'Nifty 50 '!$A:$B,2,0)</f>
        <v>17624.05</v>
      </c>
      <c r="D740" s="13">
        <f t="shared" si="11"/>
        <v>3.2774165543920895E-3</v>
      </c>
      <c r="E740" s="13">
        <f t="shared" si="11"/>
        <v>5.5592870573658824E-3</v>
      </c>
      <c r="G740" s="4"/>
    </row>
    <row r="741" spans="1:7" x14ac:dyDescent="0.3">
      <c r="A741" s="25">
        <v>45022</v>
      </c>
      <c r="B741" s="13">
        <v>1754.05</v>
      </c>
      <c r="C741" s="13">
        <f>VLOOKUP(A:A,'Nifty 50 '!$A:$B,2,0)</f>
        <v>17599.150000000001</v>
      </c>
      <c r="D741" s="13">
        <f t="shared" si="11"/>
        <v>2.4330319066768958E-2</v>
      </c>
      <c r="E741" s="13">
        <f t="shared" si="11"/>
        <v>1.4138411131193697E-3</v>
      </c>
      <c r="G741" s="4"/>
    </row>
    <row r="742" spans="1:7" x14ac:dyDescent="0.3">
      <c r="A742" s="25">
        <v>45021</v>
      </c>
      <c r="B742" s="13">
        <v>1698</v>
      </c>
      <c r="C742" s="13">
        <f>VLOOKUP(A:A,'Nifty 50 '!$A:$B,2,0)</f>
        <v>17557.05</v>
      </c>
      <c r="D742" s="13">
        <f t="shared" si="11"/>
        <v>3.2476311925919453E-2</v>
      </c>
      <c r="E742" s="13">
        <f t="shared" si="11"/>
        <v>2.3950267733336621E-3</v>
      </c>
      <c r="G742" s="4"/>
    </row>
    <row r="743" spans="1:7" x14ac:dyDescent="0.3">
      <c r="A743" s="25">
        <v>45019</v>
      </c>
      <c r="B743" s="13">
        <v>1717.45</v>
      </c>
      <c r="C743" s="13">
        <f>VLOOKUP(A:A,'Nifty 50 '!$A:$B,2,0)</f>
        <v>17398.05</v>
      </c>
      <c r="D743" s="13">
        <f t="shared" si="11"/>
        <v>-1.1389544719933076E-2</v>
      </c>
      <c r="E743" s="13">
        <f t="shared" si="11"/>
        <v>9.0974476751935936E-3</v>
      </c>
      <c r="G743" s="4"/>
    </row>
    <row r="744" spans="1:7" x14ac:dyDescent="0.3">
      <c r="A744" s="25">
        <v>45016</v>
      </c>
      <c r="B744" s="13">
        <v>1750.45</v>
      </c>
      <c r="C744" s="13">
        <f>VLOOKUP(A:A,'Nifty 50 '!$A:$B,2,0)</f>
        <v>17359.75</v>
      </c>
      <c r="D744" s="13">
        <f t="shared" si="11"/>
        <v>-1.9032265127918908E-2</v>
      </c>
      <c r="E744" s="13">
        <f t="shared" si="11"/>
        <v>2.2038227679195624E-3</v>
      </c>
      <c r="G744" s="4"/>
    </row>
    <row r="745" spans="1:7" x14ac:dyDescent="0.3">
      <c r="A745" s="25">
        <v>45014</v>
      </c>
      <c r="B745" s="13">
        <v>1740.4</v>
      </c>
      <c r="C745" s="13">
        <f>VLOOKUP(A:A,'Nifty 50 '!$A:$B,2,0)</f>
        <v>17080.7</v>
      </c>
      <c r="D745" s="13">
        <f t="shared" si="11"/>
        <v>5.7579258726196498E-3</v>
      </c>
      <c r="E745" s="13">
        <f t="shared" si="11"/>
        <v>1.6205137079674727E-2</v>
      </c>
      <c r="G745" s="4"/>
    </row>
    <row r="746" spans="1:7" x14ac:dyDescent="0.3">
      <c r="A746" s="25">
        <v>45013</v>
      </c>
      <c r="B746" s="13">
        <v>1600.85</v>
      </c>
      <c r="C746" s="13">
        <f>VLOOKUP(A:A,'Nifty 50 '!$A:$B,2,0)</f>
        <v>16951.7</v>
      </c>
      <c r="D746" s="13">
        <f t="shared" si="11"/>
        <v>8.358023368197609E-2</v>
      </c>
      <c r="E746" s="13">
        <f t="shared" si="11"/>
        <v>7.5810473446718757E-3</v>
      </c>
      <c r="G746" s="4"/>
    </row>
    <row r="747" spans="1:7" x14ac:dyDescent="0.3">
      <c r="A747" s="25">
        <v>45012</v>
      </c>
      <c r="B747" s="13">
        <v>1723.05</v>
      </c>
      <c r="C747" s="13">
        <f>VLOOKUP(A:A,'Nifty 50 '!$A:$B,2,0)</f>
        <v>16985.7</v>
      </c>
      <c r="D747" s="13">
        <f t="shared" si="11"/>
        <v>-7.3561238094973877E-2</v>
      </c>
      <c r="E747" s="13">
        <f t="shared" si="11"/>
        <v>-2.0036898156717883E-3</v>
      </c>
      <c r="G747" s="4"/>
    </row>
    <row r="748" spans="1:7" x14ac:dyDescent="0.3">
      <c r="A748" s="25">
        <v>45009</v>
      </c>
      <c r="B748" s="13">
        <v>1740.65</v>
      </c>
      <c r="C748" s="13">
        <f>VLOOKUP(A:A,'Nifty 50 '!$A:$B,2,0)</f>
        <v>16945.05</v>
      </c>
      <c r="D748" s="13">
        <f t="shared" si="11"/>
        <v>-1.0162630410075636E-2</v>
      </c>
      <c r="E748" s="13">
        <f t="shared" si="11"/>
        <v>2.3960578205877384E-3</v>
      </c>
      <c r="G748" s="4"/>
    </row>
    <row r="749" spans="1:7" x14ac:dyDescent="0.3">
      <c r="A749" s="25">
        <v>45008</v>
      </c>
      <c r="B749" s="13">
        <v>1794</v>
      </c>
      <c r="C749" s="13">
        <f>VLOOKUP(A:A,'Nifty 50 '!$A:$B,2,0)</f>
        <v>17076.900000000001</v>
      </c>
      <c r="D749" s="13">
        <f t="shared" si="11"/>
        <v>-3.0189156949142995E-2</v>
      </c>
      <c r="E749" s="13">
        <f t="shared" si="11"/>
        <v>-7.7509172808900607E-3</v>
      </c>
      <c r="G749" s="4"/>
    </row>
    <row r="750" spans="1:7" x14ac:dyDescent="0.3">
      <c r="A750" s="25">
        <v>45007</v>
      </c>
      <c r="B750" s="13">
        <v>1815.4</v>
      </c>
      <c r="C750" s="13">
        <f>VLOOKUP(A:A,'Nifty 50 '!$A:$B,2,0)</f>
        <v>17151.900000000001</v>
      </c>
      <c r="D750" s="13">
        <f t="shared" si="11"/>
        <v>-1.1858065473785527E-2</v>
      </c>
      <c r="E750" s="13">
        <f t="shared" si="11"/>
        <v>-4.3822815890368141E-3</v>
      </c>
      <c r="G750" s="4"/>
    </row>
    <row r="751" spans="1:7" x14ac:dyDescent="0.3">
      <c r="A751" s="25">
        <v>45006</v>
      </c>
      <c r="B751" s="13">
        <v>1824.25</v>
      </c>
      <c r="C751" s="13">
        <f>VLOOKUP(A:A,'Nifty 50 '!$A:$B,2,0)</f>
        <v>17107.5</v>
      </c>
      <c r="D751" s="13">
        <f t="shared" si="11"/>
        <v>-4.8631145532025142E-3</v>
      </c>
      <c r="E751" s="13">
        <f t="shared" si="11"/>
        <v>2.5919908029994904E-3</v>
      </c>
      <c r="G751" s="4"/>
    </row>
    <row r="752" spans="1:7" x14ac:dyDescent="0.3">
      <c r="A752" s="25">
        <v>45005</v>
      </c>
      <c r="B752" s="13">
        <v>1804.95</v>
      </c>
      <c r="C752" s="13">
        <f>VLOOKUP(A:A,'Nifty 50 '!$A:$B,2,0)</f>
        <v>16988.400000000001</v>
      </c>
      <c r="D752" s="13">
        <f t="shared" si="11"/>
        <v>1.0636053093448106E-2</v>
      </c>
      <c r="E752" s="13">
        <f t="shared" si="11"/>
        <v>6.9862056382009536E-3</v>
      </c>
      <c r="G752" s="4"/>
    </row>
    <row r="753" spans="1:7" x14ac:dyDescent="0.3">
      <c r="A753" s="25">
        <v>45002</v>
      </c>
      <c r="B753" s="13">
        <v>1876.55</v>
      </c>
      <c r="C753" s="13">
        <f>VLOOKUP(A:A,'Nifty 50 '!$A:$B,2,0)</f>
        <v>17100.05</v>
      </c>
      <c r="D753" s="13">
        <f t="shared" si="11"/>
        <v>-3.8902094018199565E-2</v>
      </c>
      <c r="E753" s="13">
        <f t="shared" si="11"/>
        <v>-6.5506292746326279E-3</v>
      </c>
      <c r="G753" s="4"/>
    </row>
    <row r="754" spans="1:7" x14ac:dyDescent="0.3">
      <c r="A754" s="25">
        <v>45001</v>
      </c>
      <c r="B754" s="13">
        <v>1843.8</v>
      </c>
      <c r="C754" s="13">
        <f>VLOOKUP(A:A,'Nifty 50 '!$A:$B,2,0)</f>
        <v>16985.599999999999</v>
      </c>
      <c r="D754" s="13">
        <f t="shared" si="11"/>
        <v>1.7606325205986879E-2</v>
      </c>
      <c r="E754" s="13">
        <f t="shared" si="11"/>
        <v>6.715461205305623E-3</v>
      </c>
      <c r="G754" s="4"/>
    </row>
    <row r="755" spans="1:7" x14ac:dyDescent="0.3">
      <c r="A755" s="25">
        <v>45000</v>
      </c>
      <c r="B755" s="13">
        <v>1839</v>
      </c>
      <c r="C755" s="13">
        <f>VLOOKUP(A:A,'Nifty 50 '!$A:$B,2,0)</f>
        <v>16972.150000000001</v>
      </c>
      <c r="D755" s="13">
        <f t="shared" si="11"/>
        <v>2.6067137601728644E-3</v>
      </c>
      <c r="E755" s="13">
        <f t="shared" si="11"/>
        <v>7.9216088835932304E-4</v>
      </c>
      <c r="G755" s="4"/>
    </row>
    <row r="756" spans="1:7" x14ac:dyDescent="0.3">
      <c r="A756" s="25">
        <v>44999</v>
      </c>
      <c r="B756" s="13">
        <v>1738.2</v>
      </c>
      <c r="C756" s="13">
        <f>VLOOKUP(A:A,'Nifty 50 '!$A:$B,2,0)</f>
        <v>17043.3</v>
      </c>
      <c r="D756" s="13">
        <f t="shared" si="11"/>
        <v>5.6371850600961393E-2</v>
      </c>
      <c r="E756" s="13">
        <f t="shared" si="11"/>
        <v>-4.1833992356591016E-3</v>
      </c>
      <c r="G756" s="4"/>
    </row>
    <row r="757" spans="1:7" x14ac:dyDescent="0.3">
      <c r="A757" s="25">
        <v>44998</v>
      </c>
      <c r="B757" s="13">
        <v>1874.4</v>
      </c>
      <c r="C757" s="13">
        <f>VLOOKUP(A:A,'Nifty 50 '!$A:$B,2,0)</f>
        <v>17154.3</v>
      </c>
      <c r="D757" s="13">
        <f t="shared" si="11"/>
        <v>-7.5438513190226167E-2</v>
      </c>
      <c r="E757" s="13">
        <f t="shared" si="11"/>
        <v>-6.4917064247525776E-3</v>
      </c>
      <c r="G757" s="4"/>
    </row>
    <row r="758" spans="1:7" x14ac:dyDescent="0.3">
      <c r="A758" s="25">
        <v>44995</v>
      </c>
      <c r="B758" s="13">
        <v>1896.2</v>
      </c>
      <c r="C758" s="13">
        <f>VLOOKUP(A:A,'Nifty 50 '!$A:$B,2,0)</f>
        <v>17412.900000000001</v>
      </c>
      <c r="D758" s="13">
        <f t="shared" si="11"/>
        <v>-1.1563275290272861E-2</v>
      </c>
      <c r="E758" s="13">
        <f t="shared" si="11"/>
        <v>-1.4962439797248966E-2</v>
      </c>
      <c r="G758" s="4"/>
    </row>
    <row r="759" spans="1:7" x14ac:dyDescent="0.3">
      <c r="A759" s="25">
        <v>44994</v>
      </c>
      <c r="B759" s="13">
        <v>1953.15</v>
      </c>
      <c r="C759" s="13">
        <f>VLOOKUP(A:A,'Nifty 50 '!$A:$B,2,0)</f>
        <v>17589.599999999999</v>
      </c>
      <c r="D759" s="13">
        <f t="shared" si="11"/>
        <v>-2.9591570358988337E-2</v>
      </c>
      <c r="E759" s="13">
        <f t="shared" si="11"/>
        <v>-1.0096507452669731E-2</v>
      </c>
      <c r="G759" s="4"/>
    </row>
    <row r="760" spans="1:7" x14ac:dyDescent="0.3">
      <c r="A760" s="25">
        <v>44993</v>
      </c>
      <c r="B760" s="13">
        <v>2039.65</v>
      </c>
      <c r="C760" s="13">
        <f>VLOOKUP(A:A,'Nifty 50 '!$A:$B,2,0)</f>
        <v>17754.400000000001</v>
      </c>
      <c r="D760" s="13">
        <f t="shared" si="11"/>
        <v>-4.3334770648383522E-2</v>
      </c>
      <c r="E760" s="13">
        <f t="shared" si="11"/>
        <v>-9.3255542287693904E-3</v>
      </c>
      <c r="G760" s="4"/>
    </row>
    <row r="761" spans="1:7" x14ac:dyDescent="0.3">
      <c r="A761" s="25">
        <v>44991</v>
      </c>
      <c r="B761" s="13">
        <v>1982.9</v>
      </c>
      <c r="C761" s="13">
        <f>VLOOKUP(A:A,'Nifty 50 '!$A:$B,2,0)</f>
        <v>17711.45</v>
      </c>
      <c r="D761" s="13">
        <f t="shared" si="11"/>
        <v>2.8217804886470854E-2</v>
      </c>
      <c r="E761" s="13">
        <f t="shared" si="11"/>
        <v>2.4220494360940436E-3</v>
      </c>
      <c r="G761" s="4"/>
    </row>
    <row r="762" spans="1:7" x14ac:dyDescent="0.3">
      <c r="A762" s="25">
        <v>44988</v>
      </c>
      <c r="B762" s="13">
        <v>1879.5</v>
      </c>
      <c r="C762" s="13">
        <f>VLOOKUP(A:A,'Nifty 50 '!$A:$B,2,0)</f>
        <v>17594.349999999999</v>
      </c>
      <c r="D762" s="13">
        <f t="shared" si="11"/>
        <v>5.3554635600527152E-2</v>
      </c>
      <c r="E762" s="13">
        <f t="shared" si="11"/>
        <v>6.6334953122811511E-3</v>
      </c>
      <c r="G762" s="4"/>
    </row>
    <row r="763" spans="1:7" x14ac:dyDescent="0.3">
      <c r="A763" s="25">
        <v>44987</v>
      </c>
      <c r="B763" s="13">
        <v>1607.25</v>
      </c>
      <c r="C763" s="13">
        <f>VLOOKUP(A:A,'Nifty 50 '!$A:$B,2,0)</f>
        <v>17321.900000000001</v>
      </c>
      <c r="D763" s="13">
        <f t="shared" si="11"/>
        <v>0.15648113998243654</v>
      </c>
      <c r="E763" s="13">
        <f t="shared" si="11"/>
        <v>1.5606230891244488E-2</v>
      </c>
      <c r="G763" s="4"/>
    </row>
    <row r="764" spans="1:7" x14ac:dyDescent="0.3">
      <c r="A764" s="25">
        <v>44986</v>
      </c>
      <c r="B764" s="13">
        <v>1564.3</v>
      </c>
      <c r="C764" s="13">
        <f>VLOOKUP(A:A,'Nifty 50 '!$A:$B,2,0)</f>
        <v>17450.900000000001</v>
      </c>
      <c r="D764" s="13">
        <f t="shared" si="11"/>
        <v>2.7086204454071439E-2</v>
      </c>
      <c r="E764" s="13">
        <f t="shared" si="11"/>
        <v>-7.4196263629130879E-3</v>
      </c>
      <c r="G764" s="4"/>
    </row>
    <row r="765" spans="1:7" x14ac:dyDescent="0.3">
      <c r="A765" s="25">
        <v>44985</v>
      </c>
      <c r="B765" s="13">
        <v>1363.85</v>
      </c>
      <c r="C765" s="13">
        <f>VLOOKUP(A:A,'Nifty 50 '!$A:$B,2,0)</f>
        <v>17303.95</v>
      </c>
      <c r="D765" s="13">
        <f t="shared" si="11"/>
        <v>0.13712685688602211</v>
      </c>
      <c r="E765" s="13">
        <f t="shared" si="11"/>
        <v>8.4564241084092717E-3</v>
      </c>
      <c r="G765" s="4"/>
    </row>
    <row r="766" spans="1:7" x14ac:dyDescent="0.3">
      <c r="A766" s="25">
        <v>44984</v>
      </c>
      <c r="B766" s="13">
        <v>1193.5</v>
      </c>
      <c r="C766" s="13">
        <f>VLOOKUP(A:A,'Nifty 50 '!$A:$B,2,0)</f>
        <v>17392.7</v>
      </c>
      <c r="D766" s="13">
        <f t="shared" si="11"/>
        <v>0.13342141590281778</v>
      </c>
      <c r="E766" s="13">
        <f t="shared" si="11"/>
        <v>-5.1157788177069495E-3</v>
      </c>
      <c r="G766" s="4"/>
    </row>
    <row r="767" spans="1:7" x14ac:dyDescent="0.3">
      <c r="A767" s="25">
        <v>44981</v>
      </c>
      <c r="B767" s="13">
        <v>1315.65</v>
      </c>
      <c r="C767" s="13">
        <f>VLOOKUP(A:A,'Nifty 50 '!$A:$B,2,0)</f>
        <v>17465.8</v>
      </c>
      <c r="D767" s="13">
        <f t="shared" si="11"/>
        <v>-9.7440673286615612E-2</v>
      </c>
      <c r="E767" s="13">
        <f t="shared" si="11"/>
        <v>-4.1941051482731325E-3</v>
      </c>
      <c r="G767" s="4"/>
    </row>
    <row r="768" spans="1:7" x14ac:dyDescent="0.3">
      <c r="A768" s="25">
        <v>44980</v>
      </c>
      <c r="B768" s="13">
        <v>1382.65</v>
      </c>
      <c r="C768" s="13">
        <f>VLOOKUP(A:A,'Nifty 50 '!$A:$B,2,0)</f>
        <v>17511.25</v>
      </c>
      <c r="D768" s="13">
        <f t="shared" si="11"/>
        <v>-4.9671107541229241E-2</v>
      </c>
      <c r="E768" s="13">
        <f t="shared" si="11"/>
        <v>-2.5988484209401182E-3</v>
      </c>
      <c r="G768" s="4"/>
    </row>
    <row r="769" spans="1:7" x14ac:dyDescent="0.3">
      <c r="A769" s="25">
        <v>44979</v>
      </c>
      <c r="B769" s="13">
        <v>1404.85</v>
      </c>
      <c r="C769" s="13">
        <f>VLOOKUP(A:A,'Nifty 50 '!$A:$B,2,0)</f>
        <v>17554.3</v>
      </c>
      <c r="D769" s="13">
        <f t="shared" si="11"/>
        <v>-1.5928587895858552E-2</v>
      </c>
      <c r="E769" s="13">
        <f t="shared" si="11"/>
        <v>-2.4554026176142147E-3</v>
      </c>
      <c r="G769" s="4"/>
    </row>
    <row r="770" spans="1:7" x14ac:dyDescent="0.3">
      <c r="A770" s="25">
        <v>44978</v>
      </c>
      <c r="B770" s="13">
        <v>1571.1</v>
      </c>
      <c r="C770" s="13">
        <f>VLOOKUP(A:A,'Nifty 50 '!$A:$B,2,0)</f>
        <v>17826.7</v>
      </c>
      <c r="D770" s="13">
        <f t="shared" si="11"/>
        <v>-0.11184547545096353</v>
      </c>
      <c r="E770" s="13">
        <f t="shared" si="11"/>
        <v>-1.539839927597453E-2</v>
      </c>
      <c r="G770" s="4"/>
    </row>
    <row r="771" spans="1:7" x14ac:dyDescent="0.3">
      <c r="A771" s="25">
        <v>44977</v>
      </c>
      <c r="B771" s="13">
        <v>1621.45</v>
      </c>
      <c r="C771" s="13">
        <f>VLOOKUP(A:A,'Nifty 50 '!$A:$B,2,0)</f>
        <v>17844.599999999999</v>
      </c>
      <c r="D771" s="13">
        <f t="shared" si="11"/>
        <v>-3.1544799672385972E-2</v>
      </c>
      <c r="E771" s="13">
        <f t="shared" si="11"/>
        <v>-1.0036080267580851E-3</v>
      </c>
      <c r="G771" s="4"/>
    </row>
    <row r="772" spans="1:7" x14ac:dyDescent="0.3">
      <c r="A772" s="25">
        <v>44974</v>
      </c>
      <c r="B772" s="13">
        <v>1722.7</v>
      </c>
      <c r="C772" s="13">
        <f>VLOOKUP(A:A,'Nifty 50 '!$A:$B,2,0)</f>
        <v>17944.2</v>
      </c>
      <c r="D772" s="13">
        <f t="shared" ref="D772:E835" si="12">LN(B771/B772)</f>
        <v>-6.0572016826385883E-2</v>
      </c>
      <c r="E772" s="13">
        <f t="shared" si="12"/>
        <v>-5.5660014941524474E-3</v>
      </c>
      <c r="G772" s="4"/>
    </row>
    <row r="773" spans="1:7" x14ac:dyDescent="0.3">
      <c r="A773" s="25">
        <v>44973</v>
      </c>
      <c r="B773" s="13">
        <v>1796.6</v>
      </c>
      <c r="C773" s="13">
        <f>VLOOKUP(A:A,'Nifty 50 '!$A:$B,2,0)</f>
        <v>18035.849999999999</v>
      </c>
      <c r="D773" s="13">
        <f t="shared" si="12"/>
        <v>-4.2003162342782681E-2</v>
      </c>
      <c r="E773" s="13">
        <f t="shared" si="12"/>
        <v>-5.0945008816343056E-3</v>
      </c>
      <c r="G773" s="4"/>
    </row>
    <row r="774" spans="1:7" x14ac:dyDescent="0.3">
      <c r="A774" s="25">
        <v>44972</v>
      </c>
      <c r="B774" s="13">
        <v>1779.1</v>
      </c>
      <c r="C774" s="13">
        <f>VLOOKUP(A:A,'Nifty 50 '!$A:$B,2,0)</f>
        <v>18015.849999999999</v>
      </c>
      <c r="D774" s="13">
        <f t="shared" si="12"/>
        <v>9.7883713543764246E-3</v>
      </c>
      <c r="E774" s="13">
        <f t="shared" si="12"/>
        <v>1.1095178342057001E-3</v>
      </c>
      <c r="G774" s="4"/>
    </row>
    <row r="775" spans="1:7" x14ac:dyDescent="0.3">
      <c r="A775" s="25">
        <v>44971</v>
      </c>
      <c r="B775" s="13">
        <v>1749.7</v>
      </c>
      <c r="C775" s="13">
        <f>VLOOKUP(A:A,'Nifty 50 '!$A:$B,2,0)</f>
        <v>17929.849999999999</v>
      </c>
      <c r="D775" s="13">
        <f t="shared" si="12"/>
        <v>1.6663273790155725E-2</v>
      </c>
      <c r="E775" s="13">
        <f t="shared" si="12"/>
        <v>4.7850042753287744E-3</v>
      </c>
      <c r="G775" s="4"/>
    </row>
    <row r="776" spans="1:7" x14ac:dyDescent="0.3">
      <c r="A776" s="25">
        <v>44970</v>
      </c>
      <c r="B776" s="13">
        <v>1717.65</v>
      </c>
      <c r="C776" s="13">
        <f>VLOOKUP(A:A,'Nifty 50 '!$A:$B,2,0)</f>
        <v>17770.900000000001</v>
      </c>
      <c r="D776" s="13">
        <f t="shared" si="12"/>
        <v>1.8487267123115974E-2</v>
      </c>
      <c r="E776" s="13">
        <f t="shared" si="12"/>
        <v>8.9046336726180588E-3</v>
      </c>
      <c r="G776" s="4"/>
    </row>
    <row r="777" spans="1:7" x14ac:dyDescent="0.3">
      <c r="A777" s="25">
        <v>44967</v>
      </c>
      <c r="B777" s="13">
        <v>1846.95</v>
      </c>
      <c r="C777" s="13">
        <f>VLOOKUP(A:A,'Nifty 50 '!$A:$B,2,0)</f>
        <v>17856.5</v>
      </c>
      <c r="D777" s="13">
        <f t="shared" si="12"/>
        <v>-7.2578552379532021E-2</v>
      </c>
      <c r="E777" s="13">
        <f t="shared" si="12"/>
        <v>-4.8052995568044921E-3</v>
      </c>
      <c r="G777" s="4"/>
    </row>
    <row r="778" spans="1:7" x14ac:dyDescent="0.3">
      <c r="A778" s="25">
        <v>44966</v>
      </c>
      <c r="B778" s="13">
        <v>1925.7</v>
      </c>
      <c r="C778" s="13">
        <f>VLOOKUP(A:A,'Nifty 50 '!$A:$B,2,0)</f>
        <v>17893.45</v>
      </c>
      <c r="D778" s="13">
        <f t="shared" si="12"/>
        <v>-4.1753908078852021E-2</v>
      </c>
      <c r="E778" s="13">
        <f t="shared" si="12"/>
        <v>-2.0671364943135387E-3</v>
      </c>
      <c r="G778" s="4"/>
    </row>
    <row r="779" spans="1:7" x14ac:dyDescent="0.3">
      <c r="A779" s="25">
        <v>44965</v>
      </c>
      <c r="B779" s="13">
        <v>2164.25</v>
      </c>
      <c r="C779" s="13">
        <f>VLOOKUP(A:A,'Nifty 50 '!$A:$B,2,0)</f>
        <v>17871.7</v>
      </c>
      <c r="D779" s="13">
        <f t="shared" si="12"/>
        <v>-0.11678434311004099</v>
      </c>
      <c r="E779" s="13">
        <f t="shared" si="12"/>
        <v>1.2162679413476782E-3</v>
      </c>
      <c r="G779" s="4"/>
    </row>
    <row r="780" spans="1:7" x14ac:dyDescent="0.3">
      <c r="A780" s="25">
        <v>44964</v>
      </c>
      <c r="B780" s="13">
        <v>1802.95</v>
      </c>
      <c r="C780" s="13">
        <f>VLOOKUP(A:A,'Nifty 50 '!$A:$B,2,0)</f>
        <v>17721.5</v>
      </c>
      <c r="D780" s="13">
        <f t="shared" si="12"/>
        <v>0.18264966883560615</v>
      </c>
      <c r="E780" s="13">
        <f t="shared" si="12"/>
        <v>8.4398644447551876E-3</v>
      </c>
      <c r="G780" s="4"/>
    </row>
    <row r="781" spans="1:7" x14ac:dyDescent="0.3">
      <c r="A781" s="25">
        <v>44963</v>
      </c>
      <c r="B781" s="13">
        <v>1572.7</v>
      </c>
      <c r="C781" s="13">
        <f>VLOOKUP(A:A,'Nifty 50 '!$A:$B,2,0)</f>
        <v>17764.599999999999</v>
      </c>
      <c r="D781" s="13">
        <f t="shared" si="12"/>
        <v>0.13663032476359707</v>
      </c>
      <c r="E781" s="13">
        <f t="shared" si="12"/>
        <v>-2.4291213288073102E-3</v>
      </c>
      <c r="G781" s="4"/>
    </row>
    <row r="782" spans="1:7" x14ac:dyDescent="0.3">
      <c r="A782" s="25">
        <v>44960</v>
      </c>
      <c r="B782" s="13">
        <v>1586.8</v>
      </c>
      <c r="C782" s="13">
        <f>VLOOKUP(A:A,'Nifty 50 '!$A:$B,2,0)</f>
        <v>17854.05</v>
      </c>
      <c r="D782" s="13">
        <f t="shared" si="12"/>
        <v>-8.9255221434952105E-3</v>
      </c>
      <c r="E782" s="13">
        <f t="shared" si="12"/>
        <v>-5.0226602101452831E-3</v>
      </c>
      <c r="G782" s="4"/>
    </row>
    <row r="783" spans="1:7" x14ac:dyDescent="0.3">
      <c r="A783" s="25">
        <v>44959</v>
      </c>
      <c r="B783" s="13">
        <v>1565.25</v>
      </c>
      <c r="C783" s="13">
        <f>VLOOKUP(A:A,'Nifty 50 '!$A:$B,2,0)</f>
        <v>17610.400000000001</v>
      </c>
      <c r="D783" s="13">
        <f t="shared" si="12"/>
        <v>1.3673854014755175E-2</v>
      </c>
      <c r="E783" s="13">
        <f t="shared" si="12"/>
        <v>1.3740736629151006E-2</v>
      </c>
      <c r="G783" s="4"/>
    </row>
    <row r="784" spans="1:7" x14ac:dyDescent="0.3">
      <c r="A784" s="25">
        <v>44958</v>
      </c>
      <c r="B784" s="13">
        <v>2135.35</v>
      </c>
      <c r="C784" s="13">
        <f>VLOOKUP(A:A,'Nifty 50 '!$A:$B,2,0)</f>
        <v>17616.3</v>
      </c>
      <c r="D784" s="13">
        <f t="shared" si="12"/>
        <v>-0.31058501202775496</v>
      </c>
      <c r="E784" s="13">
        <f t="shared" si="12"/>
        <v>-3.3497319108321866E-4</v>
      </c>
      <c r="G784" s="4"/>
    </row>
    <row r="785" spans="1:7" x14ac:dyDescent="0.3">
      <c r="A785" s="25">
        <v>44957</v>
      </c>
      <c r="B785" s="13">
        <v>2973.9</v>
      </c>
      <c r="C785" s="13">
        <f>VLOOKUP(A:A,'Nifty 50 '!$A:$B,2,0)</f>
        <v>17662.150000000001</v>
      </c>
      <c r="D785" s="13">
        <f t="shared" si="12"/>
        <v>-0.33124365505378689</v>
      </c>
      <c r="E785" s="13">
        <f t="shared" si="12"/>
        <v>-2.5993220119003902E-3</v>
      </c>
      <c r="G785" s="4"/>
    </row>
    <row r="786" spans="1:7" x14ac:dyDescent="0.3">
      <c r="A786" s="25">
        <v>44956</v>
      </c>
      <c r="B786" s="13">
        <v>2892.85</v>
      </c>
      <c r="C786" s="13">
        <f>VLOOKUP(A:A,'Nifty 50 '!$A:$B,2,0)</f>
        <v>17648.95</v>
      </c>
      <c r="D786" s="13">
        <f t="shared" si="12"/>
        <v>2.7632047366440513E-2</v>
      </c>
      <c r="E786" s="13">
        <f t="shared" si="12"/>
        <v>7.4764029525351266E-4</v>
      </c>
      <c r="G786" s="4"/>
    </row>
    <row r="787" spans="1:7" x14ac:dyDescent="0.3">
      <c r="A787" s="25">
        <v>44953</v>
      </c>
      <c r="B787" s="13">
        <v>2761.45</v>
      </c>
      <c r="C787" s="13">
        <f>VLOOKUP(A:A,'Nifty 50 '!$A:$B,2,0)</f>
        <v>17604.349999999999</v>
      </c>
      <c r="D787" s="13">
        <f t="shared" si="12"/>
        <v>4.6486271264952611E-2</v>
      </c>
      <c r="E787" s="13">
        <f t="shared" si="12"/>
        <v>2.5302609284759267E-3</v>
      </c>
      <c r="G787" s="4"/>
    </row>
    <row r="788" spans="1:7" x14ac:dyDescent="0.3">
      <c r="A788" s="25">
        <v>44951</v>
      </c>
      <c r="B788" s="13">
        <v>3388.95</v>
      </c>
      <c r="C788" s="13">
        <f>VLOOKUP(A:A,'Nifty 50 '!$A:$B,2,0)</f>
        <v>17891.95</v>
      </c>
      <c r="D788" s="13">
        <f t="shared" si="12"/>
        <v>-0.20476423480801167</v>
      </c>
      <c r="E788" s="13">
        <f t="shared" si="12"/>
        <v>-1.6204860425410094E-2</v>
      </c>
      <c r="G788" s="4"/>
    </row>
    <row r="789" spans="1:7" x14ac:dyDescent="0.3">
      <c r="A789" s="25">
        <v>44950</v>
      </c>
      <c r="B789" s="13">
        <v>3442</v>
      </c>
      <c r="C789" s="13">
        <f>VLOOKUP(A:A,'Nifty 50 '!$A:$B,2,0)</f>
        <v>18118.3</v>
      </c>
      <c r="D789" s="13">
        <f t="shared" si="12"/>
        <v>-1.5532558887904667E-2</v>
      </c>
      <c r="E789" s="13">
        <f t="shared" si="12"/>
        <v>-1.2571586207360697E-2</v>
      </c>
      <c r="G789" s="4"/>
    </row>
    <row r="790" spans="1:7" x14ac:dyDescent="0.3">
      <c r="A790" s="25">
        <v>44949</v>
      </c>
      <c r="B790" s="13">
        <v>3436.35</v>
      </c>
      <c r="C790" s="13">
        <f>VLOOKUP(A:A,'Nifty 50 '!$A:$B,2,0)</f>
        <v>18118.55</v>
      </c>
      <c r="D790" s="13">
        <f t="shared" si="12"/>
        <v>1.6428362240179339E-3</v>
      </c>
      <c r="E790" s="13">
        <f t="shared" si="12"/>
        <v>-1.3798108831454769E-5</v>
      </c>
      <c r="G790" s="4"/>
    </row>
    <row r="791" spans="1:7" x14ac:dyDescent="0.3">
      <c r="A791" s="25">
        <v>44946</v>
      </c>
      <c r="B791" s="13">
        <v>3456.15</v>
      </c>
      <c r="C791" s="13">
        <f>VLOOKUP(A:A,'Nifty 50 '!$A:$B,2,0)</f>
        <v>18027.650000000001</v>
      </c>
      <c r="D791" s="13">
        <f t="shared" si="12"/>
        <v>-5.7453912123840521E-3</v>
      </c>
      <c r="E791" s="13">
        <f t="shared" si="12"/>
        <v>5.0295849424065783E-3</v>
      </c>
      <c r="G791" s="4"/>
    </row>
    <row r="792" spans="1:7" x14ac:dyDescent="0.3">
      <c r="A792" s="25">
        <v>44945</v>
      </c>
      <c r="B792" s="13">
        <v>3463.55</v>
      </c>
      <c r="C792" s="13">
        <f>VLOOKUP(A:A,'Nifty 50 '!$A:$B,2,0)</f>
        <v>18107.849999999999</v>
      </c>
      <c r="D792" s="13">
        <f t="shared" si="12"/>
        <v>-2.1388218625021382E-3</v>
      </c>
      <c r="E792" s="13">
        <f t="shared" si="12"/>
        <v>-4.4388555124240574E-3</v>
      </c>
      <c r="G792" s="4"/>
    </row>
    <row r="793" spans="1:7" x14ac:dyDescent="0.3">
      <c r="A793" s="25">
        <v>44944</v>
      </c>
      <c r="B793" s="13">
        <v>3596.7</v>
      </c>
      <c r="C793" s="13">
        <f>VLOOKUP(A:A,'Nifty 50 '!$A:$B,2,0)</f>
        <v>18165.349999999999</v>
      </c>
      <c r="D793" s="13">
        <f t="shared" si="12"/>
        <v>-3.7722683759364786E-2</v>
      </c>
      <c r="E793" s="13">
        <f t="shared" si="12"/>
        <v>-3.1703874024205901E-3</v>
      </c>
      <c r="G793" s="4"/>
    </row>
    <row r="794" spans="1:7" x14ac:dyDescent="0.3">
      <c r="A794" s="25">
        <v>44943</v>
      </c>
      <c r="B794" s="13">
        <v>3639.35</v>
      </c>
      <c r="C794" s="13">
        <f>VLOOKUP(A:A,'Nifty 50 '!$A:$B,2,0)</f>
        <v>18053.3</v>
      </c>
      <c r="D794" s="13">
        <f t="shared" si="12"/>
        <v>-1.1788335874721403E-2</v>
      </c>
      <c r="E794" s="13">
        <f t="shared" si="12"/>
        <v>6.1874397571668738E-3</v>
      </c>
      <c r="G794" s="4"/>
    </row>
    <row r="795" spans="1:7" x14ac:dyDescent="0.3">
      <c r="A795" s="25">
        <v>44942</v>
      </c>
      <c r="B795" s="13">
        <v>3619.8</v>
      </c>
      <c r="C795" s="13">
        <f>VLOOKUP(A:A,'Nifty 50 '!$A:$B,2,0)</f>
        <v>17894.849999999999</v>
      </c>
      <c r="D795" s="13">
        <f t="shared" si="12"/>
        <v>5.3863185816678113E-3</v>
      </c>
      <c r="E795" s="13">
        <f t="shared" si="12"/>
        <v>8.8155315999272829E-3</v>
      </c>
      <c r="G795" s="4"/>
    </row>
    <row r="796" spans="1:7" x14ac:dyDescent="0.3">
      <c r="A796" s="25">
        <v>44939</v>
      </c>
      <c r="B796" s="13">
        <v>3721.15</v>
      </c>
      <c r="C796" s="13">
        <f>VLOOKUP(A:A,'Nifty 50 '!$A:$B,2,0)</f>
        <v>17956.599999999999</v>
      </c>
      <c r="D796" s="13">
        <f t="shared" si="12"/>
        <v>-2.761398460350974E-2</v>
      </c>
      <c r="E796" s="13">
        <f t="shared" si="12"/>
        <v>-3.44477342271146E-3</v>
      </c>
      <c r="G796" s="4"/>
    </row>
    <row r="797" spans="1:7" x14ac:dyDescent="0.3">
      <c r="A797" s="25">
        <v>44938</v>
      </c>
      <c r="B797" s="13">
        <v>3647.2</v>
      </c>
      <c r="C797" s="13">
        <f>VLOOKUP(A:A,'Nifty 50 '!$A:$B,2,0)</f>
        <v>17858.2</v>
      </c>
      <c r="D797" s="13">
        <f t="shared" si="12"/>
        <v>2.0073010379049162E-2</v>
      </c>
      <c r="E797" s="13">
        <f t="shared" si="12"/>
        <v>5.4949488811592336E-3</v>
      </c>
      <c r="G797" s="4"/>
    </row>
    <row r="798" spans="1:7" x14ac:dyDescent="0.3">
      <c r="A798" s="25">
        <v>44937</v>
      </c>
      <c r="B798" s="13">
        <v>3635.8</v>
      </c>
      <c r="C798" s="13">
        <f>VLOOKUP(A:A,'Nifty 50 '!$A:$B,2,0)</f>
        <v>17895.7</v>
      </c>
      <c r="D798" s="13">
        <f t="shared" si="12"/>
        <v>3.1305806152700957E-3</v>
      </c>
      <c r="E798" s="13">
        <f t="shared" si="12"/>
        <v>-2.097674030007273E-3</v>
      </c>
      <c r="G798" s="4"/>
    </row>
    <row r="799" spans="1:7" x14ac:dyDescent="0.3">
      <c r="A799" s="25">
        <v>44936</v>
      </c>
      <c r="B799" s="13">
        <v>3646.9</v>
      </c>
      <c r="C799" s="13">
        <f>VLOOKUP(A:A,'Nifty 50 '!$A:$B,2,0)</f>
        <v>17914.150000000001</v>
      </c>
      <c r="D799" s="13">
        <f t="shared" si="12"/>
        <v>-3.0483223516957841E-3</v>
      </c>
      <c r="E799" s="13">
        <f t="shared" si="12"/>
        <v>-1.0304428324909225E-3</v>
      </c>
      <c r="G799" s="4"/>
    </row>
    <row r="800" spans="1:7" x14ac:dyDescent="0.3">
      <c r="A800" s="25">
        <v>44935</v>
      </c>
      <c r="B800" s="13">
        <v>3855.3</v>
      </c>
      <c r="C800" s="13">
        <f>VLOOKUP(A:A,'Nifty 50 '!$A:$B,2,0)</f>
        <v>18101.2</v>
      </c>
      <c r="D800" s="13">
        <f t="shared" si="12"/>
        <v>-5.5571333345548035E-2</v>
      </c>
      <c r="E800" s="13">
        <f t="shared" si="12"/>
        <v>-1.0387331059448432E-2</v>
      </c>
      <c r="G800" s="4"/>
    </row>
    <row r="801" spans="1:7" x14ac:dyDescent="0.3">
      <c r="A801" s="25">
        <v>44932</v>
      </c>
      <c r="B801" s="13">
        <v>3824.25</v>
      </c>
      <c r="C801" s="13">
        <f>VLOOKUP(A:A,'Nifty 50 '!$A:$B,2,0)</f>
        <v>17859.45</v>
      </c>
      <c r="D801" s="13">
        <f t="shared" si="12"/>
        <v>8.0864553778304486E-3</v>
      </c>
      <c r="E801" s="13">
        <f t="shared" si="12"/>
        <v>1.3445454515296811E-2</v>
      </c>
      <c r="G801" s="4"/>
    </row>
    <row r="802" spans="1:7" x14ac:dyDescent="0.3">
      <c r="A802" s="25">
        <v>44931</v>
      </c>
      <c r="B802" s="13">
        <v>3829.8</v>
      </c>
      <c r="C802" s="13">
        <f>VLOOKUP(A:A,'Nifty 50 '!$A:$B,2,0)</f>
        <v>17992.150000000001</v>
      </c>
      <c r="D802" s="13">
        <f t="shared" si="12"/>
        <v>-1.4502128866919202E-3</v>
      </c>
      <c r="E802" s="13">
        <f t="shared" si="12"/>
        <v>-7.4027717595589147E-3</v>
      </c>
      <c r="G802" s="4"/>
    </row>
    <row r="803" spans="1:7" x14ac:dyDescent="0.3">
      <c r="A803" s="25">
        <v>44930</v>
      </c>
      <c r="B803" s="13">
        <v>3827.05</v>
      </c>
      <c r="C803" s="13">
        <f>VLOOKUP(A:A,'Nifty 50 '!$A:$B,2,0)</f>
        <v>18042.95</v>
      </c>
      <c r="D803" s="13">
        <f t="shared" si="12"/>
        <v>7.1831108569277179E-4</v>
      </c>
      <c r="E803" s="13">
        <f t="shared" si="12"/>
        <v>-2.8194751035864399E-3</v>
      </c>
      <c r="G803" s="4"/>
    </row>
    <row r="804" spans="1:7" x14ac:dyDescent="0.3">
      <c r="A804" s="25">
        <v>44929</v>
      </c>
      <c r="B804" s="13">
        <v>3830.95</v>
      </c>
      <c r="C804" s="13">
        <f>VLOOKUP(A:A,'Nifty 50 '!$A:$B,2,0)</f>
        <v>18232.55</v>
      </c>
      <c r="D804" s="13">
        <f t="shared" si="12"/>
        <v>-1.0185427884994353E-3</v>
      </c>
      <c r="E804" s="13">
        <f t="shared" si="12"/>
        <v>-1.0453431463642316E-2</v>
      </c>
      <c r="G804" s="4"/>
    </row>
    <row r="805" spans="1:7" x14ac:dyDescent="0.3">
      <c r="A805" s="25">
        <v>44928</v>
      </c>
      <c r="B805" s="13">
        <v>3841.2</v>
      </c>
      <c r="C805" s="13">
        <f>VLOOKUP(A:A,'Nifty 50 '!$A:$B,2,0)</f>
        <v>18197.45</v>
      </c>
      <c r="D805" s="13">
        <f t="shared" si="12"/>
        <v>-2.6720035709442824E-3</v>
      </c>
      <c r="E805" s="13">
        <f t="shared" si="12"/>
        <v>1.9269838518420508E-3</v>
      </c>
      <c r="G805" s="4"/>
    </row>
    <row r="806" spans="1:7" x14ac:dyDescent="0.3">
      <c r="A806" s="25">
        <v>44925</v>
      </c>
      <c r="B806" s="13">
        <v>3858.35</v>
      </c>
      <c r="C806" s="13">
        <f>VLOOKUP(A:A,'Nifty 50 '!$A:$B,2,0)</f>
        <v>18105.3</v>
      </c>
      <c r="D806" s="13">
        <f t="shared" si="12"/>
        <v>-4.4548131676053907E-3</v>
      </c>
      <c r="E806" s="13">
        <f t="shared" si="12"/>
        <v>5.0767612877239332E-3</v>
      </c>
      <c r="G806" s="4"/>
    </row>
    <row r="807" spans="1:7" x14ac:dyDescent="0.3">
      <c r="A807" s="25">
        <v>44924</v>
      </c>
      <c r="B807" s="13">
        <v>3810.6</v>
      </c>
      <c r="C807" s="13">
        <f>VLOOKUP(A:A,'Nifty 50 '!$A:$B,2,0)</f>
        <v>18191</v>
      </c>
      <c r="D807" s="13">
        <f t="shared" si="12"/>
        <v>1.2452973894438831E-2</v>
      </c>
      <c r="E807" s="13">
        <f t="shared" si="12"/>
        <v>-4.7222531914706822E-3</v>
      </c>
      <c r="G807" s="4"/>
    </row>
    <row r="808" spans="1:7" x14ac:dyDescent="0.3">
      <c r="A808" s="25">
        <v>44923</v>
      </c>
      <c r="B808" s="13">
        <v>3797.7</v>
      </c>
      <c r="C808" s="13">
        <f>VLOOKUP(A:A,'Nifty 50 '!$A:$B,2,0)</f>
        <v>18122.5</v>
      </c>
      <c r="D808" s="13">
        <f t="shared" si="12"/>
        <v>3.39103672609196E-3</v>
      </c>
      <c r="E808" s="13">
        <f t="shared" si="12"/>
        <v>3.7727060871833766E-3</v>
      </c>
      <c r="G808" s="4"/>
    </row>
    <row r="809" spans="1:7" x14ac:dyDescent="0.3">
      <c r="A809" s="25">
        <v>44922</v>
      </c>
      <c r="B809" s="13">
        <v>3769.65</v>
      </c>
      <c r="C809" s="13">
        <f>VLOOKUP(A:A,'Nifty 50 '!$A:$B,2,0)</f>
        <v>18132.3</v>
      </c>
      <c r="D809" s="13">
        <f t="shared" si="12"/>
        <v>7.4134613748542359E-3</v>
      </c>
      <c r="E809" s="13">
        <f t="shared" si="12"/>
        <v>-5.4061808305026044E-4</v>
      </c>
      <c r="G809" s="4"/>
    </row>
    <row r="810" spans="1:7" x14ac:dyDescent="0.3">
      <c r="A810" s="25">
        <v>44921</v>
      </c>
      <c r="B810" s="13">
        <v>3716.75</v>
      </c>
      <c r="C810" s="13">
        <f>VLOOKUP(A:A,'Nifty 50 '!$A:$B,2,0)</f>
        <v>18014.599999999999</v>
      </c>
      <c r="D810" s="13">
        <f t="shared" si="12"/>
        <v>1.4132528442577808E-2</v>
      </c>
      <c r="E810" s="13">
        <f t="shared" si="12"/>
        <v>6.5123380415187272E-3</v>
      </c>
      <c r="G810" s="4"/>
    </row>
    <row r="811" spans="1:7" x14ac:dyDescent="0.3">
      <c r="A811" s="25">
        <v>44918</v>
      </c>
      <c r="B811" s="13">
        <v>3642.2</v>
      </c>
      <c r="C811" s="13">
        <f>VLOOKUP(A:A,'Nifty 50 '!$A:$B,2,0)</f>
        <v>17806.8</v>
      </c>
      <c r="D811" s="13">
        <f t="shared" si="12"/>
        <v>2.0261735831740867E-2</v>
      </c>
      <c r="E811" s="13">
        <f t="shared" si="12"/>
        <v>1.1602133416483444E-2</v>
      </c>
      <c r="G811" s="4"/>
    </row>
    <row r="812" spans="1:7" x14ac:dyDescent="0.3">
      <c r="A812" s="25">
        <v>44917</v>
      </c>
      <c r="B812" s="13">
        <v>3868.55</v>
      </c>
      <c r="C812" s="13">
        <f>VLOOKUP(A:A,'Nifty 50 '!$A:$B,2,0)</f>
        <v>18127.349999999999</v>
      </c>
      <c r="D812" s="13">
        <f t="shared" si="12"/>
        <v>-6.0291865150558517E-2</v>
      </c>
      <c r="E812" s="13">
        <f t="shared" si="12"/>
        <v>-1.7841440690702759E-2</v>
      </c>
      <c r="G812" s="4"/>
    </row>
    <row r="813" spans="1:7" x14ac:dyDescent="0.3">
      <c r="A813" s="25">
        <v>44916</v>
      </c>
      <c r="B813" s="13">
        <v>3901.95</v>
      </c>
      <c r="C813" s="13">
        <f>VLOOKUP(A:A,'Nifty 50 '!$A:$B,2,0)</f>
        <v>18199.099999999999</v>
      </c>
      <c r="D813" s="13">
        <f t="shared" si="12"/>
        <v>-8.5966683471110656E-3</v>
      </c>
      <c r="E813" s="13">
        <f t="shared" si="12"/>
        <v>-3.950294801933504E-3</v>
      </c>
      <c r="G813" s="4"/>
    </row>
    <row r="814" spans="1:7" x14ac:dyDescent="0.3">
      <c r="A814" s="25">
        <v>44915</v>
      </c>
      <c r="B814" s="13">
        <v>4165.3</v>
      </c>
      <c r="C814" s="13">
        <f>VLOOKUP(A:A,'Nifty 50 '!$A:$B,2,0)</f>
        <v>18385.3</v>
      </c>
      <c r="D814" s="13">
        <f t="shared" si="12"/>
        <v>-6.5311873659128675E-2</v>
      </c>
      <c r="E814" s="13">
        <f t="shared" si="12"/>
        <v>-1.0179289959781981E-2</v>
      </c>
      <c r="G814" s="4"/>
    </row>
    <row r="815" spans="1:7" x14ac:dyDescent="0.3">
      <c r="A815" s="25">
        <v>44914</v>
      </c>
      <c r="B815" s="13">
        <v>4075.3</v>
      </c>
      <c r="C815" s="13">
        <f>VLOOKUP(A:A,'Nifty 50 '!$A:$B,2,0)</f>
        <v>18420.45</v>
      </c>
      <c r="D815" s="13">
        <f t="shared" si="12"/>
        <v>2.1843938221444668E-2</v>
      </c>
      <c r="E815" s="13">
        <f t="shared" si="12"/>
        <v>-1.9100282258184755E-3</v>
      </c>
      <c r="G815" s="4"/>
    </row>
    <row r="816" spans="1:7" x14ac:dyDescent="0.3">
      <c r="A816" s="25">
        <v>44911</v>
      </c>
      <c r="B816" s="13">
        <v>3980.8</v>
      </c>
      <c r="C816" s="13">
        <f>VLOOKUP(A:A,'Nifty 50 '!$A:$B,2,0)</f>
        <v>18269</v>
      </c>
      <c r="D816" s="13">
        <f t="shared" si="12"/>
        <v>2.3461559492267098E-2</v>
      </c>
      <c r="E816" s="13">
        <f t="shared" si="12"/>
        <v>8.2558261417479597E-3</v>
      </c>
      <c r="G816" s="4"/>
    </row>
    <row r="817" spans="1:7" x14ac:dyDescent="0.3">
      <c r="A817" s="25">
        <v>44910</v>
      </c>
      <c r="B817" s="13">
        <v>4043.75</v>
      </c>
      <c r="C817" s="13">
        <f>VLOOKUP(A:A,'Nifty 50 '!$A:$B,2,0)</f>
        <v>18414.900000000001</v>
      </c>
      <c r="D817" s="13">
        <f t="shared" si="12"/>
        <v>-1.5689675144405016E-2</v>
      </c>
      <c r="E817" s="13">
        <f t="shared" si="12"/>
        <v>-7.9544851721632479E-3</v>
      </c>
      <c r="G817" s="4"/>
    </row>
    <row r="818" spans="1:7" x14ac:dyDescent="0.3">
      <c r="A818" s="25">
        <v>44909</v>
      </c>
      <c r="B818" s="13">
        <v>4055.8</v>
      </c>
      <c r="C818" s="13">
        <f>VLOOKUP(A:A,'Nifty 50 '!$A:$B,2,0)</f>
        <v>18660.3</v>
      </c>
      <c r="D818" s="13">
        <f t="shared" si="12"/>
        <v>-2.9754761413526435E-3</v>
      </c>
      <c r="E818" s="13">
        <f t="shared" si="12"/>
        <v>-1.3238152933783446E-2</v>
      </c>
      <c r="G818" s="4"/>
    </row>
    <row r="819" spans="1:7" x14ac:dyDescent="0.3">
      <c r="A819" s="25">
        <v>44908</v>
      </c>
      <c r="B819" s="13">
        <v>4060.2</v>
      </c>
      <c r="C819" s="13">
        <f>VLOOKUP(A:A,'Nifty 50 '!$A:$B,2,0)</f>
        <v>18608</v>
      </c>
      <c r="D819" s="13">
        <f t="shared" si="12"/>
        <v>-1.0842780756714181E-3</v>
      </c>
      <c r="E819" s="13">
        <f t="shared" si="12"/>
        <v>2.8066766840707338E-3</v>
      </c>
      <c r="G819" s="4"/>
    </row>
    <row r="820" spans="1:7" x14ac:dyDescent="0.3">
      <c r="A820" s="25">
        <v>44907</v>
      </c>
      <c r="B820" s="13">
        <v>4016.7</v>
      </c>
      <c r="C820" s="13">
        <f>VLOOKUP(A:A,'Nifty 50 '!$A:$B,2,0)</f>
        <v>18497.150000000001</v>
      </c>
      <c r="D820" s="13">
        <f t="shared" si="12"/>
        <v>1.0771563494791235E-2</v>
      </c>
      <c r="E820" s="13">
        <f t="shared" si="12"/>
        <v>5.9749296136281512E-3</v>
      </c>
      <c r="G820" s="4"/>
    </row>
    <row r="821" spans="1:7" x14ac:dyDescent="0.3">
      <c r="A821" s="25">
        <v>44904</v>
      </c>
      <c r="B821" s="13">
        <v>3996.8</v>
      </c>
      <c r="C821" s="13">
        <f>VLOOKUP(A:A,'Nifty 50 '!$A:$B,2,0)</f>
        <v>18496.599999999999</v>
      </c>
      <c r="D821" s="13">
        <f t="shared" si="12"/>
        <v>4.9666290401850412E-3</v>
      </c>
      <c r="E821" s="13">
        <f t="shared" si="12"/>
        <v>2.9734752494251067E-5</v>
      </c>
      <c r="G821" s="4"/>
    </row>
    <row r="822" spans="1:7" x14ac:dyDescent="0.3">
      <c r="A822" s="25">
        <v>44903</v>
      </c>
      <c r="B822" s="13">
        <v>4025</v>
      </c>
      <c r="C822" s="13">
        <f>VLOOKUP(A:A,'Nifty 50 '!$A:$B,2,0)</f>
        <v>18609.349999999999</v>
      </c>
      <c r="D822" s="13">
        <f t="shared" si="12"/>
        <v>-7.0308699214052164E-3</v>
      </c>
      <c r="E822" s="13">
        <f t="shared" si="12"/>
        <v>-6.0772111756395393E-3</v>
      </c>
      <c r="G822" s="4"/>
    </row>
    <row r="823" spans="1:7" x14ac:dyDescent="0.3">
      <c r="A823" s="25">
        <v>44902</v>
      </c>
      <c r="B823" s="13">
        <v>3999.3</v>
      </c>
      <c r="C823" s="13">
        <f>VLOOKUP(A:A,'Nifty 50 '!$A:$B,2,0)</f>
        <v>18560.5</v>
      </c>
      <c r="D823" s="13">
        <f t="shared" si="12"/>
        <v>6.4055650649227315E-3</v>
      </c>
      <c r="E823" s="13">
        <f t="shared" si="12"/>
        <v>2.6284759354648821E-3</v>
      </c>
      <c r="G823" s="4"/>
    </row>
    <row r="824" spans="1:7" x14ac:dyDescent="0.3">
      <c r="A824" s="25">
        <v>44901</v>
      </c>
      <c r="B824" s="13">
        <v>4031.8</v>
      </c>
      <c r="C824" s="13">
        <f>VLOOKUP(A:A,'Nifty 50 '!$A:$B,2,0)</f>
        <v>18642.75</v>
      </c>
      <c r="D824" s="13">
        <f t="shared" si="12"/>
        <v>-8.0935805585822095E-3</v>
      </c>
      <c r="E824" s="13">
        <f t="shared" si="12"/>
        <v>-4.4216639141222676E-3</v>
      </c>
      <c r="G824" s="4"/>
    </row>
    <row r="825" spans="1:7" x14ac:dyDescent="0.3">
      <c r="A825" s="25">
        <v>44900</v>
      </c>
      <c r="B825" s="13">
        <v>3930.4</v>
      </c>
      <c r="C825" s="13">
        <f>VLOOKUP(A:A,'Nifty 50 '!$A:$B,2,0)</f>
        <v>18701.05</v>
      </c>
      <c r="D825" s="13">
        <f t="shared" si="12"/>
        <v>2.5471724491884819E-2</v>
      </c>
      <c r="E825" s="13">
        <f t="shared" si="12"/>
        <v>-3.1223414523407593E-3</v>
      </c>
      <c r="G825" s="4"/>
    </row>
    <row r="826" spans="1:7" x14ac:dyDescent="0.3">
      <c r="A826" s="25">
        <v>44897</v>
      </c>
      <c r="B826" s="13">
        <v>3922.5</v>
      </c>
      <c r="C826" s="13">
        <f>VLOOKUP(A:A,'Nifty 50 '!$A:$B,2,0)</f>
        <v>18696.099999999999</v>
      </c>
      <c r="D826" s="13">
        <f t="shared" si="12"/>
        <v>2.0119962472508451E-3</v>
      </c>
      <c r="E826" s="13">
        <f t="shared" si="12"/>
        <v>2.6472605687367874E-4</v>
      </c>
      <c r="G826" s="4"/>
    </row>
    <row r="827" spans="1:7" x14ac:dyDescent="0.3">
      <c r="A827" s="25">
        <v>44896</v>
      </c>
      <c r="B827" s="13">
        <v>3915.1</v>
      </c>
      <c r="C827" s="13">
        <f>VLOOKUP(A:A,'Nifty 50 '!$A:$B,2,0)</f>
        <v>18812.5</v>
      </c>
      <c r="D827" s="13">
        <f t="shared" si="12"/>
        <v>1.8883337243321403E-3</v>
      </c>
      <c r="E827" s="13">
        <f t="shared" si="12"/>
        <v>-6.2065965491442813E-3</v>
      </c>
      <c r="G827" s="4"/>
    </row>
    <row r="828" spans="1:7" x14ac:dyDescent="0.3">
      <c r="A828" s="25">
        <v>44895</v>
      </c>
      <c r="B828" s="13">
        <v>3917.9</v>
      </c>
      <c r="C828" s="13">
        <f>VLOOKUP(A:A,'Nifty 50 '!$A:$B,2,0)</f>
        <v>18758.349999999999</v>
      </c>
      <c r="D828" s="13">
        <f t="shared" si="12"/>
        <v>-7.1492406977169756E-4</v>
      </c>
      <c r="E828" s="13">
        <f t="shared" si="12"/>
        <v>2.8825558908002974E-3</v>
      </c>
      <c r="G828" s="4"/>
    </row>
    <row r="829" spans="1:7" x14ac:dyDescent="0.3">
      <c r="A829" s="25">
        <v>44894</v>
      </c>
      <c r="B829" s="13">
        <v>3878.4</v>
      </c>
      <c r="C829" s="13">
        <f>VLOOKUP(A:A,'Nifty 50 '!$A:$B,2,0)</f>
        <v>18618.05</v>
      </c>
      <c r="D829" s="13">
        <f t="shared" si="12"/>
        <v>1.0133098517686477E-2</v>
      </c>
      <c r="E829" s="13">
        <f t="shared" si="12"/>
        <v>7.5074463545009001E-3</v>
      </c>
      <c r="G829" s="4"/>
    </row>
    <row r="830" spans="1:7" x14ac:dyDescent="0.3">
      <c r="A830" s="25">
        <v>44893</v>
      </c>
      <c r="B830" s="13">
        <v>3886.15</v>
      </c>
      <c r="C830" s="13">
        <f>VLOOKUP(A:A,'Nifty 50 '!$A:$B,2,0)</f>
        <v>18562.75</v>
      </c>
      <c r="D830" s="13">
        <f t="shared" si="12"/>
        <v>-1.9962528604135616E-3</v>
      </c>
      <c r="E830" s="13">
        <f t="shared" si="12"/>
        <v>2.9746557780997683E-3</v>
      </c>
      <c r="G830" s="4"/>
    </row>
    <row r="831" spans="1:7" x14ac:dyDescent="0.3">
      <c r="A831" s="25">
        <v>44890</v>
      </c>
      <c r="B831" s="13">
        <v>3901.1</v>
      </c>
      <c r="C831" s="13">
        <f>VLOOKUP(A:A,'Nifty 50 '!$A:$B,2,0)</f>
        <v>18512.75</v>
      </c>
      <c r="D831" s="13">
        <f t="shared" si="12"/>
        <v>-3.8396143354497451E-3</v>
      </c>
      <c r="E831" s="13">
        <f t="shared" si="12"/>
        <v>2.6972005940332764E-3</v>
      </c>
      <c r="G831" s="4"/>
    </row>
    <row r="832" spans="1:7" x14ac:dyDescent="0.3">
      <c r="A832" s="25">
        <v>44889</v>
      </c>
      <c r="B832" s="13">
        <v>3921.1</v>
      </c>
      <c r="C832" s="13">
        <f>VLOOKUP(A:A,'Nifty 50 '!$A:$B,2,0)</f>
        <v>18484.099999999999</v>
      </c>
      <c r="D832" s="13">
        <f t="shared" si="12"/>
        <v>-5.1136620343500937E-3</v>
      </c>
      <c r="E832" s="13">
        <f t="shared" si="12"/>
        <v>1.548780813877488E-3</v>
      </c>
      <c r="G832" s="4"/>
    </row>
    <row r="833" spans="1:7" x14ac:dyDescent="0.3">
      <c r="A833" s="25">
        <v>44888</v>
      </c>
      <c r="B833" s="13">
        <v>3903.3</v>
      </c>
      <c r="C833" s="13">
        <f>VLOOKUP(A:A,'Nifty 50 '!$A:$B,2,0)</f>
        <v>18267.25</v>
      </c>
      <c r="D833" s="13">
        <f t="shared" si="12"/>
        <v>4.5498774876139925E-3</v>
      </c>
      <c r="E833" s="13">
        <f t="shared" si="12"/>
        <v>1.1801063995242344E-2</v>
      </c>
      <c r="G833" s="4"/>
    </row>
    <row r="834" spans="1:7" x14ac:dyDescent="0.3">
      <c r="A834" s="25">
        <v>44887</v>
      </c>
      <c r="B834" s="13">
        <v>4034</v>
      </c>
      <c r="C834" s="13">
        <f>VLOOKUP(A:A,'Nifty 50 '!$A:$B,2,0)</f>
        <v>18244.2</v>
      </c>
      <c r="D834" s="13">
        <f t="shared" si="12"/>
        <v>-3.2936090336617076E-2</v>
      </c>
      <c r="E834" s="13">
        <f t="shared" si="12"/>
        <v>1.2626177849523763E-3</v>
      </c>
      <c r="G834" s="4"/>
    </row>
    <row r="835" spans="1:7" x14ac:dyDescent="0.3">
      <c r="A835" s="25">
        <v>44886</v>
      </c>
      <c r="B835" s="13">
        <v>4001.85</v>
      </c>
      <c r="C835" s="13">
        <f>VLOOKUP(A:A,'Nifty 50 '!$A:$B,2,0)</f>
        <v>18159.95</v>
      </c>
      <c r="D835" s="13">
        <f t="shared" si="12"/>
        <v>8.0016853322886251E-3</v>
      </c>
      <c r="E835" s="13">
        <f t="shared" si="12"/>
        <v>4.6286014321959227E-3</v>
      </c>
      <c r="G835" s="4"/>
    </row>
    <row r="836" spans="1:7" x14ac:dyDescent="0.3">
      <c r="A836" s="25">
        <v>44883</v>
      </c>
      <c r="B836" s="13">
        <v>4019.8</v>
      </c>
      <c r="C836" s="13">
        <f>VLOOKUP(A:A,'Nifty 50 '!$A:$B,2,0)</f>
        <v>18307.650000000001</v>
      </c>
      <c r="D836" s="13">
        <f t="shared" ref="D836:E899" si="13">LN(B835/B836)</f>
        <v>-4.4753959497830804E-3</v>
      </c>
      <c r="E836" s="13">
        <f t="shared" si="13"/>
        <v>-8.100385417505962E-3</v>
      </c>
      <c r="G836" s="4"/>
    </row>
    <row r="837" spans="1:7" x14ac:dyDescent="0.3">
      <c r="A837" s="25">
        <v>44882</v>
      </c>
      <c r="B837" s="13">
        <v>4018.15</v>
      </c>
      <c r="C837" s="13">
        <f>VLOOKUP(A:A,'Nifty 50 '!$A:$B,2,0)</f>
        <v>18343.900000000001</v>
      </c>
      <c r="D837" s="13">
        <f t="shared" si="13"/>
        <v>4.1055244762057289E-4</v>
      </c>
      <c r="E837" s="13">
        <f t="shared" si="13"/>
        <v>-1.9780888841003656E-3</v>
      </c>
      <c r="G837" s="4"/>
    </row>
    <row r="838" spans="1:7" x14ac:dyDescent="0.3">
      <c r="A838" s="25">
        <v>44881</v>
      </c>
      <c r="B838" s="13">
        <v>3956.6</v>
      </c>
      <c r="C838" s="13">
        <f>VLOOKUP(A:A,'Nifty 50 '!$A:$B,2,0)</f>
        <v>18409.650000000001</v>
      </c>
      <c r="D838" s="13">
        <f t="shared" si="13"/>
        <v>1.543652709003914E-2</v>
      </c>
      <c r="E838" s="13">
        <f t="shared" si="13"/>
        <v>-3.5778894904250048E-3</v>
      </c>
      <c r="G838" s="4"/>
    </row>
    <row r="839" spans="1:7" x14ac:dyDescent="0.3">
      <c r="A839" s="25">
        <v>44880</v>
      </c>
      <c r="B839" s="13">
        <v>4057.8</v>
      </c>
      <c r="C839" s="13">
        <f>VLOOKUP(A:A,'Nifty 50 '!$A:$B,2,0)</f>
        <v>18403.400000000001</v>
      </c>
      <c r="D839" s="13">
        <f t="shared" si="13"/>
        <v>-2.5255884214957686E-2</v>
      </c>
      <c r="E839" s="13">
        <f t="shared" si="13"/>
        <v>3.3955350399116779E-4</v>
      </c>
      <c r="G839" s="4"/>
    </row>
    <row r="840" spans="1:7" x14ac:dyDescent="0.3">
      <c r="A840" s="25">
        <v>44879</v>
      </c>
      <c r="B840" s="13">
        <v>4022.55</v>
      </c>
      <c r="C840" s="13">
        <f>VLOOKUP(A:A,'Nifty 50 '!$A:$B,2,0)</f>
        <v>18329.150000000001</v>
      </c>
      <c r="D840" s="13">
        <f t="shared" si="13"/>
        <v>8.7249249388681831E-3</v>
      </c>
      <c r="E840" s="13">
        <f t="shared" si="13"/>
        <v>4.0427414446846995E-3</v>
      </c>
      <c r="G840" s="4"/>
    </row>
    <row r="841" spans="1:7" x14ac:dyDescent="0.3">
      <c r="A841" s="25">
        <v>44876</v>
      </c>
      <c r="B841" s="13">
        <v>4008.85</v>
      </c>
      <c r="C841" s="13">
        <f>VLOOKUP(A:A,'Nifty 50 '!$A:$B,2,0)</f>
        <v>18349.7</v>
      </c>
      <c r="D841" s="13">
        <f t="shared" si="13"/>
        <v>3.4116127419806172E-3</v>
      </c>
      <c r="E841" s="13">
        <f t="shared" si="13"/>
        <v>-1.1205368843472386E-3</v>
      </c>
      <c r="G841" s="4"/>
    </row>
    <row r="842" spans="1:7" x14ac:dyDescent="0.3">
      <c r="A842" s="25">
        <v>44875</v>
      </c>
      <c r="B842" s="13">
        <v>3992.25</v>
      </c>
      <c r="C842" s="13">
        <f>VLOOKUP(A:A,'Nifty 50 '!$A:$B,2,0)</f>
        <v>18028.2</v>
      </c>
      <c r="D842" s="13">
        <f t="shared" si="13"/>
        <v>4.14943540712376E-3</v>
      </c>
      <c r="E842" s="13">
        <f t="shared" si="13"/>
        <v>1.7676026972224347E-2</v>
      </c>
      <c r="G842" s="4"/>
    </row>
    <row r="843" spans="1:7" x14ac:dyDescent="0.3">
      <c r="A843" s="25">
        <v>44874</v>
      </c>
      <c r="B843" s="13">
        <v>3997.2</v>
      </c>
      <c r="C843" s="13">
        <f>VLOOKUP(A:A,'Nifty 50 '!$A:$B,2,0)</f>
        <v>18157</v>
      </c>
      <c r="D843" s="13">
        <f t="shared" si="13"/>
        <v>-1.2391342666577345E-3</v>
      </c>
      <c r="E843" s="13">
        <f t="shared" si="13"/>
        <v>-7.1189626676594429E-3</v>
      </c>
      <c r="G843" s="4"/>
    </row>
    <row r="844" spans="1:7" x14ac:dyDescent="0.3">
      <c r="A844" s="25">
        <v>44872</v>
      </c>
      <c r="B844" s="13">
        <v>3960.6</v>
      </c>
      <c r="C844" s="13">
        <f>VLOOKUP(A:A,'Nifty 50 '!$A:$B,2,0)</f>
        <v>18202.8</v>
      </c>
      <c r="D844" s="13">
        <f t="shared" si="13"/>
        <v>9.1985870648542307E-3</v>
      </c>
      <c r="E844" s="13">
        <f t="shared" si="13"/>
        <v>-2.5192671149599894E-3</v>
      </c>
      <c r="G844" s="4"/>
    </row>
    <row r="845" spans="1:7" x14ac:dyDescent="0.3">
      <c r="A845" s="25">
        <v>44869</v>
      </c>
      <c r="B845" s="13">
        <v>3833.25</v>
      </c>
      <c r="C845" s="13">
        <f>VLOOKUP(A:A,'Nifty 50 '!$A:$B,2,0)</f>
        <v>18117.150000000001</v>
      </c>
      <c r="D845" s="13">
        <f t="shared" si="13"/>
        <v>3.2682521606281434E-2</v>
      </c>
      <c r="E845" s="13">
        <f t="shared" si="13"/>
        <v>4.7164249274147217E-3</v>
      </c>
      <c r="G845" s="4"/>
    </row>
    <row r="846" spans="1:7" x14ac:dyDescent="0.3">
      <c r="A846" s="25">
        <v>44868</v>
      </c>
      <c r="B846" s="13">
        <v>3590.4</v>
      </c>
      <c r="C846" s="13">
        <f>VLOOKUP(A:A,'Nifty 50 '!$A:$B,2,0)</f>
        <v>18052.7</v>
      </c>
      <c r="D846" s="13">
        <f t="shared" si="13"/>
        <v>6.5449390428176143E-2</v>
      </c>
      <c r="E846" s="13">
        <f t="shared" si="13"/>
        <v>3.5637453962944995E-3</v>
      </c>
      <c r="G846" s="4"/>
    </row>
    <row r="847" spans="1:7" x14ac:dyDescent="0.3">
      <c r="A847" s="25">
        <v>44867</v>
      </c>
      <c r="B847" s="13">
        <v>3580.7</v>
      </c>
      <c r="C847" s="13">
        <f>VLOOKUP(A:A,'Nifty 50 '!$A:$B,2,0)</f>
        <v>18082.849999999999</v>
      </c>
      <c r="D847" s="13">
        <f t="shared" si="13"/>
        <v>2.7053048809605696E-3</v>
      </c>
      <c r="E847" s="13">
        <f t="shared" si="13"/>
        <v>-1.6687172048770696E-3</v>
      </c>
      <c r="G847" s="4"/>
    </row>
    <row r="848" spans="1:7" x14ac:dyDescent="0.3">
      <c r="A848" s="25">
        <v>44866</v>
      </c>
      <c r="B848" s="13">
        <v>3575.7</v>
      </c>
      <c r="C848" s="13">
        <f>VLOOKUP(A:A,'Nifty 50 '!$A:$B,2,0)</f>
        <v>18145.400000000001</v>
      </c>
      <c r="D848" s="13">
        <f t="shared" si="13"/>
        <v>1.3973508505892962E-3</v>
      </c>
      <c r="E848" s="13">
        <f t="shared" si="13"/>
        <v>-3.4531097777932285E-3</v>
      </c>
      <c r="G848" s="4"/>
    </row>
    <row r="849" spans="1:7" x14ac:dyDescent="0.3">
      <c r="A849" s="25">
        <v>44865</v>
      </c>
      <c r="B849" s="13">
        <v>3347.45</v>
      </c>
      <c r="C849" s="13">
        <f>VLOOKUP(A:A,'Nifty 50 '!$A:$B,2,0)</f>
        <v>18012.2</v>
      </c>
      <c r="D849" s="13">
        <f t="shared" si="13"/>
        <v>6.5962099222786896E-2</v>
      </c>
      <c r="E849" s="13">
        <f t="shared" si="13"/>
        <v>7.3677789761327165E-3</v>
      </c>
      <c r="G849" s="4"/>
    </row>
    <row r="850" spans="1:7" x14ac:dyDescent="0.3">
      <c r="A850" s="25">
        <v>44862</v>
      </c>
      <c r="B850" s="13">
        <v>3323.3</v>
      </c>
      <c r="C850" s="13">
        <f>VLOOKUP(A:A,'Nifty 50 '!$A:$B,2,0)</f>
        <v>17786.8</v>
      </c>
      <c r="D850" s="13">
        <f t="shared" si="13"/>
        <v>7.2405967867838024E-3</v>
      </c>
      <c r="E850" s="13">
        <f t="shared" si="13"/>
        <v>1.2592696923282446E-2</v>
      </c>
      <c r="G850" s="4"/>
    </row>
    <row r="851" spans="1:7" x14ac:dyDescent="0.3">
      <c r="A851" s="25">
        <v>44861</v>
      </c>
      <c r="B851" s="13">
        <v>3325</v>
      </c>
      <c r="C851" s="13">
        <f>VLOOKUP(A:A,'Nifty 50 '!$A:$B,2,0)</f>
        <v>17736.95</v>
      </c>
      <c r="D851" s="13">
        <f t="shared" si="13"/>
        <v>-5.1140894275265858E-4</v>
      </c>
      <c r="E851" s="13">
        <f t="shared" si="13"/>
        <v>2.8065749095631263E-3</v>
      </c>
      <c r="G851" s="4"/>
    </row>
    <row r="852" spans="1:7" x14ac:dyDescent="0.3">
      <c r="A852" s="25">
        <v>44859</v>
      </c>
      <c r="B852" s="13">
        <v>3300.5</v>
      </c>
      <c r="C852" s="13">
        <f>VLOOKUP(A:A,'Nifty 50 '!$A:$B,2,0)</f>
        <v>17656.349999999999</v>
      </c>
      <c r="D852" s="13">
        <f t="shared" si="13"/>
        <v>7.3957019611289926E-3</v>
      </c>
      <c r="E852" s="13">
        <f t="shared" si="13"/>
        <v>4.5545422059832148E-3</v>
      </c>
      <c r="G852" s="4"/>
    </row>
    <row r="853" spans="1:7" x14ac:dyDescent="0.3">
      <c r="A853" s="25">
        <v>44858</v>
      </c>
      <c r="B853" s="13">
        <v>3309.8</v>
      </c>
      <c r="C853" s="13">
        <f>VLOOKUP(A:A,'Nifty 50 '!$A:$B,2,0)</f>
        <v>17730.75</v>
      </c>
      <c r="D853" s="13">
        <f t="shared" si="13"/>
        <v>-2.8137924560174914E-3</v>
      </c>
      <c r="E853" s="13">
        <f t="shared" si="13"/>
        <v>-4.2049283283901789E-3</v>
      </c>
      <c r="G853" s="4"/>
    </row>
    <row r="854" spans="1:7" x14ac:dyDescent="0.3">
      <c r="A854" s="25">
        <v>44855</v>
      </c>
      <c r="B854" s="13">
        <v>3311.9</v>
      </c>
      <c r="C854" s="13">
        <f>VLOOKUP(A:A,'Nifty 50 '!$A:$B,2,0)</f>
        <v>17576.3</v>
      </c>
      <c r="D854" s="13">
        <f t="shared" si="13"/>
        <v>-6.3427822776750749E-4</v>
      </c>
      <c r="E854" s="13">
        <f t="shared" si="13"/>
        <v>8.7490167091534895E-3</v>
      </c>
      <c r="G854" s="4"/>
    </row>
    <row r="855" spans="1:7" x14ac:dyDescent="0.3">
      <c r="A855" s="25">
        <v>44854</v>
      </c>
      <c r="B855" s="13">
        <v>3357.1</v>
      </c>
      <c r="C855" s="13">
        <f>VLOOKUP(A:A,'Nifty 50 '!$A:$B,2,0)</f>
        <v>17563.95</v>
      </c>
      <c r="D855" s="13">
        <f t="shared" si="13"/>
        <v>-1.3555463225394249E-2</v>
      </c>
      <c r="E855" s="13">
        <f t="shared" si="13"/>
        <v>7.0289770325899842E-4</v>
      </c>
      <c r="G855" s="4"/>
    </row>
    <row r="856" spans="1:7" x14ac:dyDescent="0.3">
      <c r="A856" s="25">
        <v>44853</v>
      </c>
      <c r="B856" s="13">
        <v>3277.25</v>
      </c>
      <c r="C856" s="13">
        <f>VLOOKUP(A:A,'Nifty 50 '!$A:$B,2,0)</f>
        <v>17512.25</v>
      </c>
      <c r="D856" s="13">
        <f t="shared" si="13"/>
        <v>2.4072849960086119E-2</v>
      </c>
      <c r="E856" s="13">
        <f t="shared" si="13"/>
        <v>2.9478699197255992E-3</v>
      </c>
      <c r="G856" s="4"/>
    </row>
    <row r="857" spans="1:7" x14ac:dyDescent="0.3">
      <c r="A857" s="25">
        <v>44852</v>
      </c>
      <c r="B857" s="13">
        <v>3284.3</v>
      </c>
      <c r="C857" s="13">
        <f>VLOOKUP(A:A,'Nifty 50 '!$A:$B,2,0)</f>
        <v>17486.95</v>
      </c>
      <c r="D857" s="13">
        <f t="shared" si="13"/>
        <v>-2.1488833318037267E-3</v>
      </c>
      <c r="E857" s="13">
        <f t="shared" si="13"/>
        <v>1.4457475831908754E-3</v>
      </c>
      <c r="G857" s="4"/>
    </row>
    <row r="858" spans="1:7" x14ac:dyDescent="0.3">
      <c r="A858" s="25">
        <v>44851</v>
      </c>
      <c r="B858" s="13">
        <v>3212.6</v>
      </c>
      <c r="C858" s="13">
        <f>VLOOKUP(A:A,'Nifty 50 '!$A:$B,2,0)</f>
        <v>17311.8</v>
      </c>
      <c r="D858" s="13">
        <f t="shared" si="13"/>
        <v>2.2072961286056719E-2</v>
      </c>
      <c r="E858" s="13">
        <f t="shared" si="13"/>
        <v>1.0066538543434379E-2</v>
      </c>
      <c r="G858" s="4"/>
    </row>
    <row r="859" spans="1:7" x14ac:dyDescent="0.3">
      <c r="A859" s="25">
        <v>44848</v>
      </c>
      <c r="B859" s="13">
        <v>3209.5</v>
      </c>
      <c r="C859" s="13">
        <f>VLOOKUP(A:A,'Nifty 50 '!$A:$B,2,0)</f>
        <v>17185.7</v>
      </c>
      <c r="D859" s="13">
        <f t="shared" si="13"/>
        <v>9.654163718329766E-4</v>
      </c>
      <c r="E859" s="13">
        <f t="shared" si="13"/>
        <v>7.3107072473373395E-3</v>
      </c>
      <c r="G859" s="4"/>
    </row>
    <row r="860" spans="1:7" x14ac:dyDescent="0.3">
      <c r="A860" s="25">
        <v>44847</v>
      </c>
      <c r="B860" s="13">
        <v>3233.65</v>
      </c>
      <c r="C860" s="13">
        <f>VLOOKUP(A:A,'Nifty 50 '!$A:$B,2,0)</f>
        <v>17014.349999999999</v>
      </c>
      <c r="D860" s="13">
        <f t="shared" si="13"/>
        <v>-7.4963684202346134E-3</v>
      </c>
      <c r="E860" s="13">
        <f t="shared" si="13"/>
        <v>1.0020537033444438E-2</v>
      </c>
      <c r="G860" s="4"/>
    </row>
    <row r="861" spans="1:7" x14ac:dyDescent="0.3">
      <c r="A861" s="25">
        <v>44846</v>
      </c>
      <c r="B861" s="13">
        <v>3223.65</v>
      </c>
      <c r="C861" s="13">
        <f>VLOOKUP(A:A,'Nifty 50 '!$A:$B,2,0)</f>
        <v>17123.599999999999</v>
      </c>
      <c r="D861" s="13">
        <f t="shared" si="13"/>
        <v>3.0972722327427984E-3</v>
      </c>
      <c r="E861" s="13">
        <f t="shared" si="13"/>
        <v>-6.4005233452741625E-3</v>
      </c>
      <c r="G861" s="4"/>
    </row>
    <row r="862" spans="1:7" x14ac:dyDescent="0.3">
      <c r="A862" s="25">
        <v>44845</v>
      </c>
      <c r="B862" s="13">
        <v>3273.95</v>
      </c>
      <c r="C862" s="13">
        <f>VLOOKUP(A:A,'Nifty 50 '!$A:$B,2,0)</f>
        <v>16983.55</v>
      </c>
      <c r="D862" s="13">
        <f t="shared" si="13"/>
        <v>-1.548294903641027E-2</v>
      </c>
      <c r="E862" s="13">
        <f t="shared" si="13"/>
        <v>8.21240045686677E-3</v>
      </c>
      <c r="G862" s="4"/>
    </row>
    <row r="863" spans="1:7" x14ac:dyDescent="0.3">
      <c r="A863" s="25">
        <v>44844</v>
      </c>
      <c r="B863" s="13">
        <v>3246.25</v>
      </c>
      <c r="C863" s="13">
        <f>VLOOKUP(A:A,'Nifty 50 '!$A:$B,2,0)</f>
        <v>17241</v>
      </c>
      <c r="D863" s="13">
        <f t="shared" si="13"/>
        <v>8.4967229987767609E-3</v>
      </c>
      <c r="E863" s="13">
        <f t="shared" si="13"/>
        <v>-1.504503966897207E-2</v>
      </c>
      <c r="G863" s="4"/>
    </row>
    <row r="864" spans="1:7" x14ac:dyDescent="0.3">
      <c r="A864" s="25">
        <v>44841</v>
      </c>
      <c r="B864" s="13">
        <v>3277.6</v>
      </c>
      <c r="C864" s="13">
        <f>VLOOKUP(A:A,'Nifty 50 '!$A:$B,2,0)</f>
        <v>17314.650000000001</v>
      </c>
      <c r="D864" s="13">
        <f t="shared" si="13"/>
        <v>-9.6109632557030856E-3</v>
      </c>
      <c r="E864" s="13">
        <f t="shared" si="13"/>
        <v>-4.2626957688177139E-3</v>
      </c>
      <c r="G864" s="4"/>
    </row>
    <row r="865" spans="1:7" x14ac:dyDescent="0.3">
      <c r="A865" s="25">
        <v>44840</v>
      </c>
      <c r="B865" s="13">
        <v>3285</v>
      </c>
      <c r="C865" s="13">
        <f>VLOOKUP(A:A,'Nifty 50 '!$A:$B,2,0)</f>
        <v>17331.8</v>
      </c>
      <c r="D865" s="13">
        <f t="shared" si="13"/>
        <v>-2.2552046860495598E-3</v>
      </c>
      <c r="E865" s="13">
        <f t="shared" si="13"/>
        <v>-9.900004993715066E-4</v>
      </c>
      <c r="G865" s="4"/>
    </row>
    <row r="866" spans="1:7" x14ac:dyDescent="0.3">
      <c r="A866" s="25">
        <v>44838</v>
      </c>
      <c r="B866" s="13">
        <v>3237.7</v>
      </c>
      <c r="C866" s="13">
        <f>VLOOKUP(A:A,'Nifty 50 '!$A:$B,2,0)</f>
        <v>17274.3</v>
      </c>
      <c r="D866" s="13">
        <f t="shared" si="13"/>
        <v>1.4503450757203966E-2</v>
      </c>
      <c r="E866" s="13">
        <f t="shared" si="13"/>
        <v>3.3231166132481811E-3</v>
      </c>
      <c r="G866" s="4"/>
    </row>
    <row r="867" spans="1:7" x14ac:dyDescent="0.3">
      <c r="A867" s="25">
        <v>44837</v>
      </c>
      <c r="B867" s="13">
        <v>3157.3</v>
      </c>
      <c r="C867" s="13">
        <f>VLOOKUP(A:A,'Nifty 50 '!$A:$B,2,0)</f>
        <v>16887.349999999999</v>
      </c>
      <c r="D867" s="13">
        <f t="shared" si="13"/>
        <v>2.5145969193992198E-2</v>
      </c>
      <c r="E867" s="13">
        <f t="shared" si="13"/>
        <v>2.2655026911186513E-2</v>
      </c>
      <c r="G867" s="4"/>
    </row>
    <row r="868" spans="1:7" x14ac:dyDescent="0.3">
      <c r="A868" s="25">
        <v>44834</v>
      </c>
      <c r="B868" s="13">
        <v>3455.75</v>
      </c>
      <c r="C868" s="13">
        <f>VLOOKUP(A:A,'Nifty 50 '!$A:$B,2,0)</f>
        <v>17094.349999999999</v>
      </c>
      <c r="D868" s="13">
        <f t="shared" si="13"/>
        <v>-9.0322278376951906E-2</v>
      </c>
      <c r="E868" s="13">
        <f t="shared" si="13"/>
        <v>-1.2183178617222033E-2</v>
      </c>
      <c r="G868" s="4"/>
    </row>
    <row r="869" spans="1:7" x14ac:dyDescent="0.3">
      <c r="A869" s="25">
        <v>44833</v>
      </c>
      <c r="B869" s="13">
        <v>3470.7</v>
      </c>
      <c r="C869" s="13">
        <f>VLOOKUP(A:A,'Nifty 50 '!$A:$B,2,0)</f>
        <v>16818.099999999999</v>
      </c>
      <c r="D869" s="13">
        <f t="shared" si="13"/>
        <v>-4.3167923584862527E-3</v>
      </c>
      <c r="E869" s="13">
        <f t="shared" si="13"/>
        <v>1.6292312151434972E-2</v>
      </c>
      <c r="G869" s="4"/>
    </row>
    <row r="870" spans="1:7" x14ac:dyDescent="0.3">
      <c r="A870" s="25">
        <v>44832</v>
      </c>
      <c r="B870" s="13">
        <v>3548.75</v>
      </c>
      <c r="C870" s="13">
        <f>VLOOKUP(A:A,'Nifty 50 '!$A:$B,2,0)</f>
        <v>16858.599999999999</v>
      </c>
      <c r="D870" s="13">
        <f t="shared" si="13"/>
        <v>-2.223912608422806E-2</v>
      </c>
      <c r="E870" s="13">
        <f t="shared" si="13"/>
        <v>-2.4052249492814721E-3</v>
      </c>
      <c r="G870" s="4"/>
    </row>
    <row r="871" spans="1:7" x14ac:dyDescent="0.3">
      <c r="A871" s="25">
        <v>44831</v>
      </c>
      <c r="B871" s="13">
        <v>3559.1</v>
      </c>
      <c r="C871" s="13">
        <f>VLOOKUP(A:A,'Nifty 50 '!$A:$B,2,0)</f>
        <v>17007.400000000001</v>
      </c>
      <c r="D871" s="13">
        <f t="shared" si="13"/>
        <v>-2.912275108551863E-3</v>
      </c>
      <c r="E871" s="13">
        <f t="shared" si="13"/>
        <v>-8.7876311083257466E-3</v>
      </c>
      <c r="G871" s="4"/>
    </row>
    <row r="872" spans="1:7" x14ac:dyDescent="0.3">
      <c r="A872" s="25">
        <v>44830</v>
      </c>
      <c r="B872" s="13">
        <v>3586.2</v>
      </c>
      <c r="C872" s="13">
        <f>VLOOKUP(A:A,'Nifty 50 '!$A:$B,2,0)</f>
        <v>17016.3</v>
      </c>
      <c r="D872" s="13">
        <f t="shared" si="13"/>
        <v>-7.585442162530669E-3</v>
      </c>
      <c r="E872" s="13">
        <f t="shared" si="13"/>
        <v>-5.2316474710229822E-4</v>
      </c>
      <c r="G872" s="4"/>
    </row>
    <row r="873" spans="1:7" x14ac:dyDescent="0.3">
      <c r="A873" s="25">
        <v>44827</v>
      </c>
      <c r="B873" s="13">
        <v>3674.3</v>
      </c>
      <c r="C873" s="13">
        <f>VLOOKUP(A:A,'Nifty 50 '!$A:$B,2,0)</f>
        <v>17327.349999999999</v>
      </c>
      <c r="D873" s="13">
        <f t="shared" si="13"/>
        <v>-2.4269492255304011E-2</v>
      </c>
      <c r="E873" s="13">
        <f t="shared" si="13"/>
        <v>-1.8114469805080784E-2</v>
      </c>
      <c r="G873" s="4"/>
    </row>
    <row r="874" spans="1:7" x14ac:dyDescent="0.3">
      <c r="A874" s="25">
        <v>44826</v>
      </c>
      <c r="B874" s="13">
        <v>3716.3</v>
      </c>
      <c r="C874" s="13">
        <f>VLOOKUP(A:A,'Nifty 50 '!$A:$B,2,0)</f>
        <v>17629.8</v>
      </c>
      <c r="D874" s="13">
        <f t="shared" si="13"/>
        <v>-1.1365911331371714E-2</v>
      </c>
      <c r="E874" s="13">
        <f t="shared" si="13"/>
        <v>-1.7304474032895981E-2</v>
      </c>
      <c r="G874" s="4"/>
    </row>
    <row r="875" spans="1:7" x14ac:dyDescent="0.3">
      <c r="A875" s="25">
        <v>44825</v>
      </c>
      <c r="B875" s="13">
        <v>3640.1</v>
      </c>
      <c r="C875" s="13">
        <f>VLOOKUP(A:A,'Nifty 50 '!$A:$B,2,0)</f>
        <v>17718.349999999999</v>
      </c>
      <c r="D875" s="13">
        <f t="shared" si="13"/>
        <v>2.071739586404318E-2</v>
      </c>
      <c r="E875" s="13">
        <f t="shared" si="13"/>
        <v>-5.0101736713567694E-3</v>
      </c>
      <c r="G875" s="4"/>
    </row>
    <row r="876" spans="1:7" x14ac:dyDescent="0.3">
      <c r="A876" s="25">
        <v>44824</v>
      </c>
      <c r="B876" s="13">
        <v>3834.55</v>
      </c>
      <c r="C876" s="13">
        <f>VLOOKUP(A:A,'Nifty 50 '!$A:$B,2,0)</f>
        <v>17816.25</v>
      </c>
      <c r="D876" s="13">
        <f t="shared" si="13"/>
        <v>-5.2040933848718926E-2</v>
      </c>
      <c r="E876" s="13">
        <f t="shared" si="13"/>
        <v>-5.5101364698046914E-3</v>
      </c>
      <c r="G876" s="4"/>
    </row>
    <row r="877" spans="1:7" x14ac:dyDescent="0.3">
      <c r="A877" s="25">
        <v>44823</v>
      </c>
      <c r="B877" s="13">
        <v>3778.65</v>
      </c>
      <c r="C877" s="13">
        <f>VLOOKUP(A:A,'Nifty 50 '!$A:$B,2,0)</f>
        <v>17622.25</v>
      </c>
      <c r="D877" s="13">
        <f t="shared" si="13"/>
        <v>1.4685284663823177E-2</v>
      </c>
      <c r="E877" s="13">
        <f t="shared" si="13"/>
        <v>1.0948654031257964E-2</v>
      </c>
      <c r="G877" s="4"/>
    </row>
    <row r="878" spans="1:7" x14ac:dyDescent="0.3">
      <c r="A878" s="25">
        <v>44820</v>
      </c>
      <c r="B878" s="13">
        <v>3702.2</v>
      </c>
      <c r="C878" s="13">
        <f>VLOOKUP(A:A,'Nifty 50 '!$A:$B,2,0)</f>
        <v>17530.849999999999</v>
      </c>
      <c r="D878" s="13">
        <f t="shared" si="13"/>
        <v>2.0439565440206982E-2</v>
      </c>
      <c r="E878" s="13">
        <f t="shared" si="13"/>
        <v>5.2001220924611218E-3</v>
      </c>
      <c r="G878" s="4"/>
    </row>
    <row r="879" spans="1:7" x14ac:dyDescent="0.3">
      <c r="A879" s="25">
        <v>44819</v>
      </c>
      <c r="B879" s="13">
        <v>3748.7</v>
      </c>
      <c r="C879" s="13">
        <f>VLOOKUP(A:A,'Nifty 50 '!$A:$B,2,0)</f>
        <v>17877.400000000001</v>
      </c>
      <c r="D879" s="13">
        <f t="shared" si="13"/>
        <v>-1.2481875669425397E-2</v>
      </c>
      <c r="E879" s="13">
        <f t="shared" si="13"/>
        <v>-1.9575159238115449E-2</v>
      </c>
      <c r="G879" s="4"/>
    </row>
    <row r="880" spans="1:7" x14ac:dyDescent="0.3">
      <c r="A880" s="25">
        <v>44818</v>
      </c>
      <c r="B880" s="13">
        <v>3572.1</v>
      </c>
      <c r="C880" s="13">
        <f>VLOOKUP(A:A,'Nifty 50 '!$A:$B,2,0)</f>
        <v>18003.75</v>
      </c>
      <c r="D880" s="13">
        <f t="shared" si="13"/>
        <v>4.8255455069771046E-2</v>
      </c>
      <c r="E880" s="13">
        <f t="shared" si="13"/>
        <v>-7.0427242296225243E-3</v>
      </c>
      <c r="G880" s="4"/>
    </row>
    <row r="881" spans="1:7" x14ac:dyDescent="0.3">
      <c r="A881" s="25">
        <v>44817</v>
      </c>
      <c r="B881" s="13">
        <v>3555.8</v>
      </c>
      <c r="C881" s="13">
        <f>VLOOKUP(A:A,'Nifty 50 '!$A:$B,2,0)</f>
        <v>18070.05</v>
      </c>
      <c r="D881" s="13">
        <f t="shared" si="13"/>
        <v>4.5735850427677041E-3</v>
      </c>
      <c r="E881" s="13">
        <f t="shared" si="13"/>
        <v>-3.6758020863416896E-3</v>
      </c>
      <c r="G881" s="4"/>
    </row>
    <row r="882" spans="1:7" x14ac:dyDescent="0.3">
      <c r="A882" s="25">
        <v>44816</v>
      </c>
      <c r="B882" s="13">
        <v>3463.8</v>
      </c>
      <c r="C882" s="13">
        <f>VLOOKUP(A:A,'Nifty 50 '!$A:$B,2,0)</f>
        <v>17936.349999999999</v>
      </c>
      <c r="D882" s="13">
        <f t="shared" si="13"/>
        <v>2.6213820787528361E-2</v>
      </c>
      <c r="E882" s="13">
        <f t="shared" si="13"/>
        <v>7.4264916511124004E-3</v>
      </c>
      <c r="G882" s="4"/>
    </row>
    <row r="883" spans="1:7" x14ac:dyDescent="0.3">
      <c r="A883" s="25">
        <v>44813</v>
      </c>
      <c r="B883" s="13">
        <v>3451.2</v>
      </c>
      <c r="C883" s="13">
        <f>VLOOKUP(A:A,'Nifty 50 '!$A:$B,2,0)</f>
        <v>17833.349999999999</v>
      </c>
      <c r="D883" s="13">
        <f t="shared" si="13"/>
        <v>3.6442556600511304E-3</v>
      </c>
      <c r="E883" s="13">
        <f t="shared" si="13"/>
        <v>5.7590801534984177E-3</v>
      </c>
      <c r="G883" s="4"/>
    </row>
    <row r="884" spans="1:7" x14ac:dyDescent="0.3">
      <c r="A884" s="25">
        <v>44812</v>
      </c>
      <c r="B884" s="13">
        <v>3462.8</v>
      </c>
      <c r="C884" s="13">
        <f>VLOOKUP(A:A,'Nifty 50 '!$A:$B,2,0)</f>
        <v>17798.75</v>
      </c>
      <c r="D884" s="13">
        <f t="shared" si="13"/>
        <v>-3.355513706726885E-3</v>
      </c>
      <c r="E884" s="13">
        <f t="shared" si="13"/>
        <v>1.9420696997862557E-3</v>
      </c>
      <c r="G884" s="4"/>
    </row>
    <row r="885" spans="1:7" x14ac:dyDescent="0.3">
      <c r="A885" s="25">
        <v>44811</v>
      </c>
      <c r="B885" s="13">
        <v>3473.75</v>
      </c>
      <c r="C885" s="13">
        <f>VLOOKUP(A:A,'Nifty 50 '!$A:$B,2,0)</f>
        <v>17624.400000000001</v>
      </c>
      <c r="D885" s="13">
        <f t="shared" si="13"/>
        <v>-3.1571917150946612E-3</v>
      </c>
      <c r="E885" s="13">
        <f t="shared" si="13"/>
        <v>9.8439245473871447E-3</v>
      </c>
      <c r="G885" s="4"/>
    </row>
    <row r="886" spans="1:7" x14ac:dyDescent="0.3">
      <c r="A886" s="25">
        <v>44810</v>
      </c>
      <c r="B886" s="13">
        <v>3435.8</v>
      </c>
      <c r="C886" s="13">
        <f>VLOOKUP(A:A,'Nifty 50 '!$A:$B,2,0)</f>
        <v>17655.599999999999</v>
      </c>
      <c r="D886" s="13">
        <f t="shared" si="13"/>
        <v>1.0984906864368187E-2</v>
      </c>
      <c r="E886" s="13">
        <f t="shared" si="13"/>
        <v>-1.7687079440843621E-3</v>
      </c>
      <c r="G886" s="4"/>
    </row>
    <row r="887" spans="1:7" x14ac:dyDescent="0.3">
      <c r="A887" s="25">
        <v>44809</v>
      </c>
      <c r="B887" s="13">
        <v>3346.55</v>
      </c>
      <c r="C887" s="13">
        <f>VLOOKUP(A:A,'Nifty 50 '!$A:$B,2,0)</f>
        <v>17665.8</v>
      </c>
      <c r="D887" s="13">
        <f t="shared" si="13"/>
        <v>2.631983078014689E-2</v>
      </c>
      <c r="E887" s="13">
        <f t="shared" si="13"/>
        <v>-5.7755356715944719E-4</v>
      </c>
      <c r="G887" s="4"/>
    </row>
    <row r="888" spans="1:7" x14ac:dyDescent="0.3">
      <c r="A888" s="25">
        <v>44806</v>
      </c>
      <c r="B888" s="13">
        <v>3355.8</v>
      </c>
      <c r="C888" s="13">
        <f>VLOOKUP(A:A,'Nifty 50 '!$A:$B,2,0)</f>
        <v>17539.45</v>
      </c>
      <c r="D888" s="13">
        <f t="shared" si="13"/>
        <v>-2.7602276433991097E-3</v>
      </c>
      <c r="E888" s="13">
        <f t="shared" si="13"/>
        <v>7.1779375230424077E-3</v>
      </c>
      <c r="G888" s="4"/>
    </row>
    <row r="889" spans="1:7" x14ac:dyDescent="0.3">
      <c r="A889" s="25">
        <v>44805</v>
      </c>
      <c r="B889" s="13">
        <v>3233.25</v>
      </c>
      <c r="C889" s="13">
        <f>VLOOKUP(A:A,'Nifty 50 '!$A:$B,2,0)</f>
        <v>17542.8</v>
      </c>
      <c r="D889" s="13">
        <f t="shared" si="13"/>
        <v>3.7202368760243638E-2</v>
      </c>
      <c r="E889" s="13">
        <f t="shared" si="13"/>
        <v>-1.9097976955190739E-4</v>
      </c>
      <c r="G889" s="4"/>
    </row>
    <row r="890" spans="1:7" x14ac:dyDescent="0.3">
      <c r="A890" s="25">
        <v>44803</v>
      </c>
      <c r="B890" s="13">
        <v>3194.35</v>
      </c>
      <c r="C890" s="13">
        <f>VLOOKUP(A:A,'Nifty 50 '!$A:$B,2,0)</f>
        <v>17759.3</v>
      </c>
      <c r="D890" s="13">
        <f t="shared" si="13"/>
        <v>1.2104199060527598E-2</v>
      </c>
      <c r="E890" s="13">
        <f t="shared" si="13"/>
        <v>-1.226571304940768E-2</v>
      </c>
      <c r="G890" s="4"/>
    </row>
    <row r="891" spans="1:7" x14ac:dyDescent="0.3">
      <c r="A891" s="25">
        <v>44802</v>
      </c>
      <c r="B891" s="13">
        <v>3142.6</v>
      </c>
      <c r="C891" s="13">
        <f>VLOOKUP(A:A,'Nifty 50 '!$A:$B,2,0)</f>
        <v>17312.900000000001</v>
      </c>
      <c r="D891" s="13">
        <f t="shared" si="13"/>
        <v>1.633314147879469E-2</v>
      </c>
      <c r="E891" s="13">
        <f t="shared" si="13"/>
        <v>2.5457433999052224E-2</v>
      </c>
      <c r="G891" s="4"/>
    </row>
    <row r="892" spans="1:7" x14ac:dyDescent="0.3">
      <c r="A892" s="25">
        <v>44799</v>
      </c>
      <c r="B892" s="13">
        <v>3139.55</v>
      </c>
      <c r="C892" s="13">
        <f>VLOOKUP(A:A,'Nifty 50 '!$A:$B,2,0)</f>
        <v>17558.900000000001</v>
      </c>
      <c r="D892" s="13">
        <f t="shared" si="13"/>
        <v>9.7100522580367756E-4</v>
      </c>
      <c r="E892" s="13">
        <f t="shared" si="13"/>
        <v>-1.4109055502046193E-2</v>
      </c>
      <c r="G892" s="4"/>
    </row>
    <row r="893" spans="1:7" x14ac:dyDescent="0.3">
      <c r="A893" s="25">
        <v>44798</v>
      </c>
      <c r="B893" s="13">
        <v>3066.35</v>
      </c>
      <c r="C893" s="13">
        <f>VLOOKUP(A:A,'Nifty 50 '!$A:$B,2,0)</f>
        <v>17522.45</v>
      </c>
      <c r="D893" s="13">
        <f t="shared" si="13"/>
        <v>2.3591548362541681E-2</v>
      </c>
      <c r="E893" s="13">
        <f t="shared" si="13"/>
        <v>2.0780279616681788E-3</v>
      </c>
      <c r="G893" s="4"/>
    </row>
    <row r="894" spans="1:7" x14ac:dyDescent="0.3">
      <c r="A894" s="25">
        <v>44797</v>
      </c>
      <c r="B894" s="13">
        <v>3134.65</v>
      </c>
      <c r="C894" s="13">
        <f>VLOOKUP(A:A,'Nifty 50 '!$A:$B,2,0)</f>
        <v>17604.95</v>
      </c>
      <c r="D894" s="13">
        <f t="shared" si="13"/>
        <v>-2.2029595923598339E-2</v>
      </c>
      <c r="E894" s="13">
        <f t="shared" si="13"/>
        <v>-4.6971965865721787E-3</v>
      </c>
      <c r="G894" s="4"/>
    </row>
    <row r="895" spans="1:7" x14ac:dyDescent="0.3">
      <c r="A895" s="25">
        <v>44796</v>
      </c>
      <c r="B895" s="13">
        <v>3030.65</v>
      </c>
      <c r="C895" s="13">
        <f>VLOOKUP(A:A,'Nifty 50 '!$A:$B,2,0)</f>
        <v>17577.5</v>
      </c>
      <c r="D895" s="13">
        <f t="shared" si="13"/>
        <v>3.3740407142160846E-2</v>
      </c>
      <c r="E895" s="13">
        <f t="shared" si="13"/>
        <v>1.5604374095596946E-3</v>
      </c>
      <c r="G895" s="4"/>
    </row>
    <row r="896" spans="1:7" x14ac:dyDescent="0.3">
      <c r="A896" s="25">
        <v>44795</v>
      </c>
      <c r="B896" s="13">
        <v>3051.6</v>
      </c>
      <c r="C896" s="13">
        <f>VLOOKUP(A:A,'Nifty 50 '!$A:$B,2,0)</f>
        <v>17490.7</v>
      </c>
      <c r="D896" s="13">
        <f t="shared" si="13"/>
        <v>-6.888925266950654E-3</v>
      </c>
      <c r="E896" s="13">
        <f t="shared" si="13"/>
        <v>4.9503639913507161E-3</v>
      </c>
      <c r="G896" s="4"/>
    </row>
    <row r="897" spans="1:7" x14ac:dyDescent="0.3">
      <c r="A897" s="25">
        <v>44792</v>
      </c>
      <c r="B897" s="13">
        <v>3130.2</v>
      </c>
      <c r="C897" s="13">
        <f>VLOOKUP(A:A,'Nifty 50 '!$A:$B,2,0)</f>
        <v>17758.45</v>
      </c>
      <c r="D897" s="13">
        <f t="shared" si="13"/>
        <v>-2.5430857040327711E-2</v>
      </c>
      <c r="E897" s="13">
        <f t="shared" si="13"/>
        <v>-1.519214788075593E-2</v>
      </c>
      <c r="G897" s="4"/>
    </row>
    <row r="898" spans="1:7" x14ac:dyDescent="0.3">
      <c r="A898" s="25">
        <v>44791</v>
      </c>
      <c r="B898" s="13">
        <v>3153.65</v>
      </c>
      <c r="C898" s="13">
        <f>VLOOKUP(A:A,'Nifty 50 '!$A:$B,2,0)</f>
        <v>17956.5</v>
      </c>
      <c r="D898" s="13">
        <f t="shared" si="13"/>
        <v>-7.463611912358158E-3</v>
      </c>
      <c r="E898" s="13">
        <f t="shared" si="13"/>
        <v>-1.1090707396812729E-2</v>
      </c>
      <c r="G898" s="4"/>
    </row>
    <row r="899" spans="1:7" x14ac:dyDescent="0.3">
      <c r="A899" s="25">
        <v>44790</v>
      </c>
      <c r="B899" s="13">
        <v>3008.65</v>
      </c>
      <c r="C899" s="13">
        <f>VLOOKUP(A:A,'Nifty 50 '!$A:$B,2,0)</f>
        <v>17944.25</v>
      </c>
      <c r="D899" s="13">
        <f t="shared" si="13"/>
        <v>4.7069039017670851E-2</v>
      </c>
      <c r="E899" s="13">
        <f t="shared" si="13"/>
        <v>6.8243702292707423E-4</v>
      </c>
      <c r="G899" s="4"/>
    </row>
    <row r="900" spans="1:7" x14ac:dyDescent="0.3">
      <c r="A900" s="25">
        <v>44789</v>
      </c>
      <c r="B900" s="13">
        <v>2975.85</v>
      </c>
      <c r="C900" s="13">
        <f>VLOOKUP(A:A,'Nifty 50 '!$A:$B,2,0)</f>
        <v>17825.25</v>
      </c>
      <c r="D900" s="13">
        <f t="shared" ref="D900:E963" si="14">LN(B899/B900)</f>
        <v>1.0961760694198493E-2</v>
      </c>
      <c r="E900" s="13">
        <f t="shared" si="14"/>
        <v>6.6537379070216564E-3</v>
      </c>
      <c r="G900" s="4"/>
    </row>
    <row r="901" spans="1:7" x14ac:dyDescent="0.3">
      <c r="A901" s="25">
        <v>44785</v>
      </c>
      <c r="B901" s="13">
        <v>2864.55</v>
      </c>
      <c r="C901" s="13">
        <f>VLOOKUP(A:A,'Nifty 50 '!$A:$B,2,0)</f>
        <v>17698.150000000001</v>
      </c>
      <c r="D901" s="13">
        <f t="shared" si="14"/>
        <v>3.8118442707358029E-2</v>
      </c>
      <c r="E901" s="13">
        <f t="shared" si="14"/>
        <v>7.1558771042484594E-3</v>
      </c>
      <c r="G901" s="4"/>
    </row>
    <row r="902" spans="1:7" x14ac:dyDescent="0.3">
      <c r="A902" s="25">
        <v>44784</v>
      </c>
      <c r="B902" s="13">
        <v>2834.05</v>
      </c>
      <c r="C902" s="13">
        <f>VLOOKUP(A:A,'Nifty 50 '!$A:$B,2,0)</f>
        <v>17659</v>
      </c>
      <c r="D902" s="13">
        <f t="shared" si="14"/>
        <v>1.0704485746990081E-2</v>
      </c>
      <c r="E902" s="13">
        <f t="shared" si="14"/>
        <v>2.2145459122128799E-3</v>
      </c>
      <c r="G902" s="4"/>
    </row>
    <row r="903" spans="1:7" x14ac:dyDescent="0.3">
      <c r="A903" s="25">
        <v>44783</v>
      </c>
      <c r="B903" s="13">
        <v>2827.2</v>
      </c>
      <c r="C903" s="13">
        <f>VLOOKUP(A:A,'Nifty 50 '!$A:$B,2,0)</f>
        <v>17534.75</v>
      </c>
      <c r="D903" s="13">
        <f t="shared" si="14"/>
        <v>2.4199614371107365E-3</v>
      </c>
      <c r="E903" s="13">
        <f t="shared" si="14"/>
        <v>7.0609421403666373E-3</v>
      </c>
      <c r="G903" s="4"/>
    </row>
    <row r="904" spans="1:7" x14ac:dyDescent="0.3">
      <c r="A904" s="25">
        <v>44781</v>
      </c>
      <c r="B904" s="13">
        <v>2791.9</v>
      </c>
      <c r="C904" s="13">
        <f>VLOOKUP(A:A,'Nifty 50 '!$A:$B,2,0)</f>
        <v>17525.099999999999</v>
      </c>
      <c r="D904" s="13">
        <f t="shared" si="14"/>
        <v>1.2564454943510307E-2</v>
      </c>
      <c r="E904" s="13">
        <f t="shared" si="14"/>
        <v>5.5048725215279116E-4</v>
      </c>
      <c r="G904" s="4"/>
    </row>
    <row r="905" spans="1:7" x14ac:dyDescent="0.3">
      <c r="A905" s="25">
        <v>44778</v>
      </c>
      <c r="B905" s="13">
        <v>2698.4</v>
      </c>
      <c r="C905" s="13">
        <f>VLOOKUP(A:A,'Nifty 50 '!$A:$B,2,0)</f>
        <v>17397.5</v>
      </c>
      <c r="D905" s="13">
        <f t="shared" si="14"/>
        <v>3.4063362874480939E-2</v>
      </c>
      <c r="E905" s="13">
        <f t="shared" si="14"/>
        <v>7.3076213015998703E-3</v>
      </c>
      <c r="G905" s="4"/>
    </row>
    <row r="906" spans="1:7" x14ac:dyDescent="0.3">
      <c r="A906" s="25">
        <v>44777</v>
      </c>
      <c r="B906" s="13">
        <v>2723.6</v>
      </c>
      <c r="C906" s="13">
        <f>VLOOKUP(A:A,'Nifty 50 '!$A:$B,2,0)</f>
        <v>17382</v>
      </c>
      <c r="D906" s="13">
        <f t="shared" si="14"/>
        <v>-9.2955298613710234E-3</v>
      </c>
      <c r="E906" s="13">
        <f t="shared" si="14"/>
        <v>8.9132972159968534E-4</v>
      </c>
      <c r="G906" s="4"/>
    </row>
    <row r="907" spans="1:7" x14ac:dyDescent="0.3">
      <c r="A907" s="25">
        <v>44776</v>
      </c>
      <c r="B907" s="13">
        <v>2711.4</v>
      </c>
      <c r="C907" s="13">
        <f>VLOOKUP(A:A,'Nifty 50 '!$A:$B,2,0)</f>
        <v>17388.150000000001</v>
      </c>
      <c r="D907" s="13">
        <f t="shared" si="14"/>
        <v>4.4894279635224318E-3</v>
      </c>
      <c r="E907" s="13">
        <f t="shared" si="14"/>
        <v>-3.5375171312953282E-4</v>
      </c>
      <c r="G907" s="4"/>
    </row>
    <row r="908" spans="1:7" x14ac:dyDescent="0.3">
      <c r="A908" s="25">
        <v>44775</v>
      </c>
      <c r="B908" s="13">
        <v>2683.65</v>
      </c>
      <c r="C908" s="13">
        <f>VLOOKUP(A:A,'Nifty 50 '!$A:$B,2,0)</f>
        <v>17345.45</v>
      </c>
      <c r="D908" s="13">
        <f t="shared" si="14"/>
        <v>1.0287298441347412E-2</v>
      </c>
      <c r="E908" s="13">
        <f t="shared" si="14"/>
        <v>2.4587155671240059E-3</v>
      </c>
      <c r="G908" s="4"/>
    </row>
    <row r="909" spans="1:7" x14ac:dyDescent="0.3">
      <c r="A909" s="25">
        <v>44774</v>
      </c>
      <c r="B909" s="13">
        <v>2660.15</v>
      </c>
      <c r="C909" s="13">
        <f>VLOOKUP(A:A,'Nifty 50 '!$A:$B,2,0)</f>
        <v>17340.05</v>
      </c>
      <c r="D909" s="13">
        <f t="shared" si="14"/>
        <v>8.7952960406644919E-3</v>
      </c>
      <c r="E909" s="13">
        <f t="shared" si="14"/>
        <v>3.1136930669172061E-4</v>
      </c>
      <c r="G909" s="4"/>
    </row>
    <row r="910" spans="1:7" x14ac:dyDescent="0.3">
      <c r="A910" s="25">
        <v>44771</v>
      </c>
      <c r="B910" s="13">
        <v>2569.1999999999998</v>
      </c>
      <c r="C910" s="13">
        <f>VLOOKUP(A:A,'Nifty 50 '!$A:$B,2,0)</f>
        <v>17158.25</v>
      </c>
      <c r="D910" s="13">
        <f t="shared" si="14"/>
        <v>3.4787945779639749E-2</v>
      </c>
      <c r="E910" s="13">
        <f t="shared" si="14"/>
        <v>1.0539747347198897E-2</v>
      </c>
      <c r="G910" s="4"/>
    </row>
    <row r="911" spans="1:7" x14ac:dyDescent="0.3">
      <c r="A911" s="25">
        <v>44770</v>
      </c>
      <c r="B911" s="13">
        <v>2550.4</v>
      </c>
      <c r="C911" s="13">
        <f>VLOOKUP(A:A,'Nifty 50 '!$A:$B,2,0)</f>
        <v>16929.599999999999</v>
      </c>
      <c r="D911" s="13">
        <f t="shared" si="14"/>
        <v>7.3443567877415038E-3</v>
      </c>
      <c r="E911" s="13">
        <f t="shared" si="14"/>
        <v>1.341553833962306E-2</v>
      </c>
      <c r="G911" s="4"/>
    </row>
    <row r="912" spans="1:7" x14ac:dyDescent="0.3">
      <c r="A912" s="25">
        <v>44769</v>
      </c>
      <c r="B912" s="13">
        <v>2548.6999999999998</v>
      </c>
      <c r="C912" s="13">
        <f>VLOOKUP(A:A,'Nifty 50 '!$A:$B,2,0)</f>
        <v>16641.8</v>
      </c>
      <c r="D912" s="13">
        <f t="shared" si="14"/>
        <v>6.6678435919491884E-4</v>
      </c>
      <c r="E912" s="13">
        <f t="shared" si="14"/>
        <v>1.7145966548059971E-2</v>
      </c>
      <c r="G912" s="4"/>
    </row>
    <row r="913" spans="1:7" x14ac:dyDescent="0.3">
      <c r="A913" s="25">
        <v>44768</v>
      </c>
      <c r="B913" s="13">
        <v>2559.6999999999998</v>
      </c>
      <c r="C913" s="13">
        <f>VLOOKUP(A:A,'Nifty 50 '!$A:$B,2,0)</f>
        <v>16483.849999999999</v>
      </c>
      <c r="D913" s="13">
        <f t="shared" si="14"/>
        <v>-4.3066388699154962E-3</v>
      </c>
      <c r="E913" s="13">
        <f t="shared" si="14"/>
        <v>9.5364889176067225E-3</v>
      </c>
      <c r="G913" s="4"/>
    </row>
    <row r="914" spans="1:7" x14ac:dyDescent="0.3">
      <c r="A914" s="25">
        <v>44767</v>
      </c>
      <c r="B914" s="13">
        <v>2550.6</v>
      </c>
      <c r="C914" s="13">
        <f>VLOOKUP(A:A,'Nifty 50 '!$A:$B,2,0)</f>
        <v>16631</v>
      </c>
      <c r="D914" s="13">
        <f t="shared" si="14"/>
        <v>3.5614385138171877E-3</v>
      </c>
      <c r="E914" s="13">
        <f t="shared" si="14"/>
        <v>-8.8873099859093849E-3</v>
      </c>
      <c r="G914" s="4"/>
    </row>
    <row r="915" spans="1:7" x14ac:dyDescent="0.3">
      <c r="A915" s="25">
        <v>44764</v>
      </c>
      <c r="B915" s="13">
        <v>2499.4</v>
      </c>
      <c r="C915" s="13">
        <f>VLOOKUP(A:A,'Nifty 50 '!$A:$B,2,0)</f>
        <v>16719.45</v>
      </c>
      <c r="D915" s="13">
        <f t="shared" si="14"/>
        <v>2.027792254111619E-2</v>
      </c>
      <c r="E915" s="13">
        <f t="shared" si="14"/>
        <v>-5.3042886906669159E-3</v>
      </c>
      <c r="G915" s="4"/>
    </row>
    <row r="916" spans="1:7" x14ac:dyDescent="0.3">
      <c r="A916" s="25">
        <v>44763</v>
      </c>
      <c r="B916" s="13">
        <v>2495.5</v>
      </c>
      <c r="C916" s="13">
        <f>VLOOKUP(A:A,'Nifty 50 '!$A:$B,2,0)</f>
        <v>16605.25</v>
      </c>
      <c r="D916" s="13">
        <f t="shared" si="14"/>
        <v>1.5615931420193861E-3</v>
      </c>
      <c r="E916" s="13">
        <f t="shared" si="14"/>
        <v>6.8538019571832377E-3</v>
      </c>
      <c r="G916" s="4"/>
    </row>
    <row r="917" spans="1:7" x14ac:dyDescent="0.3">
      <c r="A917" s="25">
        <v>44762</v>
      </c>
      <c r="B917" s="13">
        <v>2451.1</v>
      </c>
      <c r="C917" s="13">
        <f>VLOOKUP(A:A,'Nifty 50 '!$A:$B,2,0)</f>
        <v>16520.849999999999</v>
      </c>
      <c r="D917" s="13">
        <f t="shared" si="14"/>
        <v>1.7952206540232777E-2</v>
      </c>
      <c r="E917" s="13">
        <f t="shared" si="14"/>
        <v>5.0956908678000479E-3</v>
      </c>
      <c r="G917" s="4"/>
    </row>
    <row r="918" spans="1:7" x14ac:dyDescent="0.3">
      <c r="A918" s="25">
        <v>44761</v>
      </c>
      <c r="B918" s="13">
        <v>2451.3000000000002</v>
      </c>
      <c r="C918" s="13">
        <f>VLOOKUP(A:A,'Nifty 50 '!$A:$B,2,0)</f>
        <v>16340.55</v>
      </c>
      <c r="D918" s="13">
        <f t="shared" si="14"/>
        <v>-8.1592689340371624E-5</v>
      </c>
      <c r="E918" s="13">
        <f t="shared" si="14"/>
        <v>1.0973470957583456E-2</v>
      </c>
      <c r="G918" s="4"/>
    </row>
    <row r="919" spans="1:7" x14ac:dyDescent="0.3">
      <c r="A919" s="25">
        <v>44760</v>
      </c>
      <c r="B919" s="13">
        <v>2423.6</v>
      </c>
      <c r="C919" s="13">
        <f>VLOOKUP(A:A,'Nifty 50 '!$A:$B,2,0)</f>
        <v>16278.5</v>
      </c>
      <c r="D919" s="13">
        <f t="shared" si="14"/>
        <v>1.1364457987937587E-2</v>
      </c>
      <c r="E919" s="13">
        <f t="shared" si="14"/>
        <v>3.8045298587748868E-3</v>
      </c>
      <c r="G919" s="4"/>
    </row>
    <row r="920" spans="1:7" x14ac:dyDescent="0.3">
      <c r="A920" s="25">
        <v>44757</v>
      </c>
      <c r="B920" s="13">
        <v>2405.25</v>
      </c>
      <c r="C920" s="13">
        <f>VLOOKUP(A:A,'Nifty 50 '!$A:$B,2,0)</f>
        <v>16049.2</v>
      </c>
      <c r="D920" s="13">
        <f t="shared" si="14"/>
        <v>7.6001898294600027E-3</v>
      </c>
      <c r="E920" s="13">
        <f t="shared" si="14"/>
        <v>1.4186214640328329E-2</v>
      </c>
      <c r="G920" s="4"/>
    </row>
    <row r="921" spans="1:7" x14ac:dyDescent="0.3">
      <c r="A921" s="25">
        <v>44756</v>
      </c>
      <c r="B921" s="13">
        <v>2383.1</v>
      </c>
      <c r="C921" s="13">
        <f>VLOOKUP(A:A,'Nifty 50 '!$A:$B,2,0)</f>
        <v>15938.65</v>
      </c>
      <c r="D921" s="13">
        <f t="shared" si="14"/>
        <v>9.2516871120556007E-3</v>
      </c>
      <c r="E921" s="13">
        <f t="shared" si="14"/>
        <v>6.9120269187908055E-3</v>
      </c>
      <c r="G921" s="4"/>
    </row>
    <row r="922" spans="1:7" x14ac:dyDescent="0.3">
      <c r="A922" s="25">
        <v>44755</v>
      </c>
      <c r="B922" s="13">
        <v>2353.5</v>
      </c>
      <c r="C922" s="13">
        <f>VLOOKUP(A:A,'Nifty 50 '!$A:$B,2,0)</f>
        <v>15966.65</v>
      </c>
      <c r="D922" s="13">
        <f t="shared" si="14"/>
        <v>1.2498579288121278E-2</v>
      </c>
      <c r="E922" s="13">
        <f t="shared" si="14"/>
        <v>-1.7551947286701716E-3</v>
      </c>
      <c r="G922" s="4"/>
    </row>
    <row r="923" spans="1:7" x14ac:dyDescent="0.3">
      <c r="A923" s="25">
        <v>44754</v>
      </c>
      <c r="B923" s="13">
        <v>2365.65</v>
      </c>
      <c r="C923" s="13">
        <f>VLOOKUP(A:A,'Nifty 50 '!$A:$B,2,0)</f>
        <v>16058.3</v>
      </c>
      <c r="D923" s="13">
        <f t="shared" si="14"/>
        <v>-5.1492437604794715E-3</v>
      </c>
      <c r="E923" s="13">
        <f t="shared" si="14"/>
        <v>-5.7236779578485313E-3</v>
      </c>
      <c r="G923" s="4"/>
    </row>
    <row r="924" spans="1:7" x14ac:dyDescent="0.3">
      <c r="A924" s="25">
        <v>44753</v>
      </c>
      <c r="B924" s="13">
        <v>2373.25</v>
      </c>
      <c r="C924" s="13">
        <f>VLOOKUP(A:A,'Nifty 50 '!$A:$B,2,0)</f>
        <v>16216</v>
      </c>
      <c r="D924" s="13">
        <f t="shared" si="14"/>
        <v>-3.2074981602314241E-3</v>
      </c>
      <c r="E924" s="13">
        <f t="shared" si="14"/>
        <v>-9.7725592849715257E-3</v>
      </c>
      <c r="G924" s="4"/>
    </row>
    <row r="925" spans="1:7" x14ac:dyDescent="0.3">
      <c r="A925" s="25">
        <v>44750</v>
      </c>
      <c r="B925" s="13">
        <v>2293.0500000000002</v>
      </c>
      <c r="C925" s="13">
        <f>VLOOKUP(A:A,'Nifty 50 '!$A:$B,2,0)</f>
        <v>16220.6</v>
      </c>
      <c r="D925" s="13">
        <f t="shared" si="14"/>
        <v>3.4377514646754974E-2</v>
      </c>
      <c r="E925" s="13">
        <f t="shared" si="14"/>
        <v>-2.8363022208483917E-4</v>
      </c>
      <c r="G925" s="4"/>
    </row>
    <row r="926" spans="1:7" x14ac:dyDescent="0.3">
      <c r="A926" s="25">
        <v>44749</v>
      </c>
      <c r="B926" s="13">
        <v>2274.3000000000002</v>
      </c>
      <c r="C926" s="13">
        <f>VLOOKUP(A:A,'Nifty 50 '!$A:$B,2,0)</f>
        <v>16132.9</v>
      </c>
      <c r="D926" s="13">
        <f t="shared" si="14"/>
        <v>8.2104963847848718E-3</v>
      </c>
      <c r="E926" s="13">
        <f t="shared" si="14"/>
        <v>5.4213741821626388E-3</v>
      </c>
      <c r="G926" s="4"/>
    </row>
    <row r="927" spans="1:7" x14ac:dyDescent="0.3">
      <c r="A927" s="25">
        <v>44748</v>
      </c>
      <c r="B927" s="13">
        <v>2272.85</v>
      </c>
      <c r="C927" s="13">
        <f>VLOOKUP(A:A,'Nifty 50 '!$A:$B,2,0)</f>
        <v>15989.8</v>
      </c>
      <c r="D927" s="13">
        <f t="shared" si="14"/>
        <v>6.3776213634838175E-4</v>
      </c>
      <c r="E927" s="13">
        <f t="shared" si="14"/>
        <v>8.9096462393676076E-3</v>
      </c>
      <c r="G927" s="4"/>
    </row>
    <row r="928" spans="1:7" x14ac:dyDescent="0.3">
      <c r="A928" s="25">
        <v>44747</v>
      </c>
      <c r="B928" s="13">
        <v>2246.4499999999998</v>
      </c>
      <c r="C928" s="13">
        <f>VLOOKUP(A:A,'Nifty 50 '!$A:$B,2,0)</f>
        <v>15810.85</v>
      </c>
      <c r="D928" s="13">
        <f t="shared" si="14"/>
        <v>1.1683358175471947E-2</v>
      </c>
      <c r="E928" s="13">
        <f t="shared" si="14"/>
        <v>1.1254605733214696E-2</v>
      </c>
      <c r="G928" s="4"/>
    </row>
    <row r="929" spans="1:7" x14ac:dyDescent="0.3">
      <c r="A929" s="25">
        <v>44746</v>
      </c>
      <c r="B929" s="13">
        <v>2261.85</v>
      </c>
      <c r="C929" s="13">
        <f>VLOOKUP(A:A,'Nifty 50 '!$A:$B,2,0)</f>
        <v>15835.35</v>
      </c>
      <c r="D929" s="13">
        <f t="shared" si="14"/>
        <v>-6.8318700613664426E-3</v>
      </c>
      <c r="E929" s="13">
        <f t="shared" si="14"/>
        <v>-1.5483694658309363E-3</v>
      </c>
      <c r="G929" s="4"/>
    </row>
    <row r="930" spans="1:7" x14ac:dyDescent="0.3">
      <c r="A930" s="25">
        <v>44743</v>
      </c>
      <c r="B930" s="13">
        <v>2232.1999999999998</v>
      </c>
      <c r="C930" s="13">
        <f>VLOOKUP(A:A,'Nifty 50 '!$A:$B,2,0)</f>
        <v>15752.05</v>
      </c>
      <c r="D930" s="13">
        <f t="shared" si="14"/>
        <v>1.3195416258299765E-2</v>
      </c>
      <c r="E930" s="13">
        <f t="shared" si="14"/>
        <v>5.2742671509817375E-3</v>
      </c>
      <c r="G930" s="4"/>
    </row>
    <row r="931" spans="1:7" x14ac:dyDescent="0.3">
      <c r="A931" s="25">
        <v>44742</v>
      </c>
      <c r="B931" s="13">
        <v>2190.9</v>
      </c>
      <c r="C931" s="13">
        <f>VLOOKUP(A:A,'Nifty 50 '!$A:$B,2,0)</f>
        <v>15780.25</v>
      </c>
      <c r="D931" s="13">
        <f t="shared" si="14"/>
        <v>1.8675227927440551E-2</v>
      </c>
      <c r="E931" s="13">
        <f t="shared" si="14"/>
        <v>-1.7886425993802585E-3</v>
      </c>
      <c r="G931" s="4"/>
    </row>
    <row r="932" spans="1:7" x14ac:dyDescent="0.3">
      <c r="A932" s="25">
        <v>44741</v>
      </c>
      <c r="B932" s="13">
        <v>2220.1</v>
      </c>
      <c r="C932" s="13">
        <f>VLOOKUP(A:A,'Nifty 50 '!$A:$B,2,0)</f>
        <v>15799.1</v>
      </c>
      <c r="D932" s="13">
        <f t="shared" si="14"/>
        <v>-1.3239821602698772E-2</v>
      </c>
      <c r="E932" s="13">
        <f t="shared" si="14"/>
        <v>-1.1938182539383846E-3</v>
      </c>
      <c r="G932" s="4"/>
    </row>
    <row r="933" spans="1:7" x14ac:dyDescent="0.3">
      <c r="A933" s="25">
        <v>44740</v>
      </c>
      <c r="B933" s="13">
        <v>2204.6</v>
      </c>
      <c r="C933" s="13">
        <f>VLOOKUP(A:A,'Nifty 50 '!$A:$B,2,0)</f>
        <v>15850.2</v>
      </c>
      <c r="D933" s="13">
        <f t="shared" si="14"/>
        <v>7.0061533676575366E-3</v>
      </c>
      <c r="E933" s="13">
        <f t="shared" si="14"/>
        <v>-3.2291421550026864E-3</v>
      </c>
      <c r="G933" s="4"/>
    </row>
    <row r="934" spans="1:7" x14ac:dyDescent="0.3">
      <c r="A934" s="25">
        <v>44739</v>
      </c>
      <c r="B934" s="13">
        <v>2181.6</v>
      </c>
      <c r="C934" s="13">
        <f>VLOOKUP(A:A,'Nifty 50 '!$A:$B,2,0)</f>
        <v>15832.05</v>
      </c>
      <c r="D934" s="13">
        <f t="shared" si="14"/>
        <v>1.0487533997836291E-2</v>
      </c>
      <c r="E934" s="13">
        <f t="shared" si="14"/>
        <v>1.1457520842448876E-3</v>
      </c>
      <c r="G934" s="4"/>
    </row>
    <row r="935" spans="1:7" x14ac:dyDescent="0.3">
      <c r="A935" s="25">
        <v>44736</v>
      </c>
      <c r="B935" s="13">
        <v>2161.4499999999998</v>
      </c>
      <c r="C935" s="13">
        <f>VLOOKUP(A:A,'Nifty 50 '!$A:$B,2,0)</f>
        <v>15699.25</v>
      </c>
      <c r="D935" s="13">
        <f t="shared" si="14"/>
        <v>9.2792597754439935E-3</v>
      </c>
      <c r="E935" s="13">
        <f t="shared" si="14"/>
        <v>8.4234259433956932E-3</v>
      </c>
      <c r="G935" s="4"/>
    </row>
    <row r="936" spans="1:7" x14ac:dyDescent="0.3">
      <c r="A936" s="25">
        <v>44735</v>
      </c>
      <c r="B936" s="13">
        <v>2110.35</v>
      </c>
      <c r="C936" s="13">
        <f>VLOOKUP(A:A,'Nifty 50 '!$A:$B,2,0)</f>
        <v>15556.65</v>
      </c>
      <c r="D936" s="13">
        <f t="shared" si="14"/>
        <v>2.3925482264602903E-2</v>
      </c>
      <c r="E936" s="13">
        <f t="shared" si="14"/>
        <v>9.1247405715748336E-3</v>
      </c>
      <c r="G936" s="4"/>
    </row>
    <row r="937" spans="1:7" x14ac:dyDescent="0.3">
      <c r="A937" s="25">
        <v>44734</v>
      </c>
      <c r="B937" s="13">
        <v>2089.1999999999998</v>
      </c>
      <c r="C937" s="13">
        <f>VLOOKUP(A:A,'Nifty 50 '!$A:$B,2,0)</f>
        <v>15413.3</v>
      </c>
      <c r="D937" s="13">
        <f t="shared" si="14"/>
        <v>1.0072592929188289E-2</v>
      </c>
      <c r="E937" s="13">
        <f t="shared" si="14"/>
        <v>9.2574268770784281E-3</v>
      </c>
      <c r="G937" s="4"/>
    </row>
    <row r="938" spans="1:7" x14ac:dyDescent="0.3">
      <c r="A938" s="25">
        <v>44733</v>
      </c>
      <c r="B938" s="13">
        <v>2161.8000000000002</v>
      </c>
      <c r="C938" s="13">
        <f>VLOOKUP(A:A,'Nifty 50 '!$A:$B,2,0)</f>
        <v>15638.8</v>
      </c>
      <c r="D938" s="13">
        <f t="shared" si="14"/>
        <v>-3.4159990419959062E-2</v>
      </c>
      <c r="E938" s="13">
        <f t="shared" si="14"/>
        <v>-1.4524232766921568E-2</v>
      </c>
      <c r="G938" s="4"/>
    </row>
    <row r="939" spans="1:7" x14ac:dyDescent="0.3">
      <c r="A939" s="25">
        <v>44732</v>
      </c>
      <c r="B939" s="13">
        <v>2079.85</v>
      </c>
      <c r="C939" s="13">
        <f>VLOOKUP(A:A,'Nifty 50 '!$A:$B,2,0)</f>
        <v>15350.15</v>
      </c>
      <c r="D939" s="13">
        <f t="shared" si="14"/>
        <v>3.8645432271793671E-2</v>
      </c>
      <c r="E939" s="13">
        <f t="shared" si="14"/>
        <v>1.86297598584063E-2</v>
      </c>
      <c r="G939" s="4"/>
    </row>
    <row r="940" spans="1:7" x14ac:dyDescent="0.3">
      <c r="A940" s="25">
        <v>44729</v>
      </c>
      <c r="B940" s="13">
        <v>2095.8000000000002</v>
      </c>
      <c r="C940" s="13">
        <f>VLOOKUP(A:A,'Nifty 50 '!$A:$B,2,0)</f>
        <v>15293.5</v>
      </c>
      <c r="D940" s="13">
        <f t="shared" si="14"/>
        <v>-7.6395663305324976E-3</v>
      </c>
      <c r="E940" s="13">
        <f t="shared" si="14"/>
        <v>3.6973444439847482E-3</v>
      </c>
      <c r="G940" s="4"/>
    </row>
    <row r="941" spans="1:7" x14ac:dyDescent="0.3">
      <c r="A941" s="25">
        <v>44728</v>
      </c>
      <c r="B941" s="13">
        <v>2083</v>
      </c>
      <c r="C941" s="13">
        <f>VLOOKUP(A:A,'Nifty 50 '!$A:$B,2,0)</f>
        <v>15360.6</v>
      </c>
      <c r="D941" s="13">
        <f t="shared" si="14"/>
        <v>6.126179779869438E-3</v>
      </c>
      <c r="E941" s="13">
        <f t="shared" si="14"/>
        <v>-4.3778879281600415E-3</v>
      </c>
      <c r="G941" s="4"/>
    </row>
    <row r="942" spans="1:7" x14ac:dyDescent="0.3">
      <c r="A942" s="25">
        <v>44727</v>
      </c>
      <c r="B942" s="13">
        <v>2184.6</v>
      </c>
      <c r="C942" s="13">
        <f>VLOOKUP(A:A,'Nifty 50 '!$A:$B,2,0)</f>
        <v>15692.15</v>
      </c>
      <c r="D942" s="13">
        <f t="shared" si="14"/>
        <v>-4.7623583148470754E-2</v>
      </c>
      <c r="E942" s="13">
        <f t="shared" si="14"/>
        <v>-2.135479785597345E-2</v>
      </c>
      <c r="G942" s="4"/>
    </row>
    <row r="943" spans="1:7" x14ac:dyDescent="0.3">
      <c r="A943" s="25">
        <v>44726</v>
      </c>
      <c r="B943" s="13">
        <v>2196.4499999999998</v>
      </c>
      <c r="C943" s="13">
        <f>VLOOKUP(A:A,'Nifty 50 '!$A:$B,2,0)</f>
        <v>15732.1</v>
      </c>
      <c r="D943" s="13">
        <f t="shared" si="14"/>
        <v>-5.4096752599330873E-3</v>
      </c>
      <c r="E943" s="13">
        <f t="shared" si="14"/>
        <v>-2.5426237076681558E-3</v>
      </c>
      <c r="G943" s="4"/>
    </row>
    <row r="944" spans="1:7" x14ac:dyDescent="0.3">
      <c r="A944" s="25">
        <v>44725</v>
      </c>
      <c r="B944" s="13">
        <v>2079.75</v>
      </c>
      <c r="C944" s="13">
        <f>VLOOKUP(A:A,'Nifty 50 '!$A:$B,2,0)</f>
        <v>15774.4</v>
      </c>
      <c r="D944" s="13">
        <f t="shared" si="14"/>
        <v>5.4594726505378624E-2</v>
      </c>
      <c r="E944" s="13">
        <f t="shared" si="14"/>
        <v>-2.6851618183916293E-3</v>
      </c>
      <c r="G944" s="4"/>
    </row>
    <row r="945" spans="1:7" x14ac:dyDescent="0.3">
      <c r="A945" s="25">
        <v>44722</v>
      </c>
      <c r="B945" s="13">
        <v>2203.1</v>
      </c>
      <c r="C945" s="13">
        <f>VLOOKUP(A:A,'Nifty 50 '!$A:$B,2,0)</f>
        <v>16201.8</v>
      </c>
      <c r="D945" s="13">
        <f t="shared" si="14"/>
        <v>-5.761776525452228E-2</v>
      </c>
      <c r="E945" s="13">
        <f t="shared" si="14"/>
        <v>-2.6733974338427311E-2</v>
      </c>
      <c r="G945" s="4"/>
    </row>
    <row r="946" spans="1:7" x14ac:dyDescent="0.3">
      <c r="A946" s="25">
        <v>44721</v>
      </c>
      <c r="B946" s="13">
        <v>2219.1999999999998</v>
      </c>
      <c r="C946" s="13">
        <f>VLOOKUP(A:A,'Nifty 50 '!$A:$B,2,0)</f>
        <v>16478.099999999999</v>
      </c>
      <c r="D946" s="13">
        <f t="shared" si="14"/>
        <v>-7.281311142047742E-3</v>
      </c>
      <c r="E946" s="13">
        <f t="shared" si="14"/>
        <v>-1.6909879395574055E-2</v>
      </c>
      <c r="G946" s="4"/>
    </row>
    <row r="947" spans="1:7" x14ac:dyDescent="0.3">
      <c r="A947" s="25">
        <v>44720</v>
      </c>
      <c r="B947" s="13">
        <v>2177.1999999999998</v>
      </c>
      <c r="C947" s="13">
        <f>VLOOKUP(A:A,'Nifty 50 '!$A:$B,2,0)</f>
        <v>16356.25</v>
      </c>
      <c r="D947" s="13">
        <f t="shared" si="14"/>
        <v>1.9107123000522287E-2</v>
      </c>
      <c r="E947" s="13">
        <f t="shared" si="14"/>
        <v>7.4221392763222718E-3</v>
      </c>
      <c r="G947" s="4"/>
    </row>
    <row r="948" spans="1:7" x14ac:dyDescent="0.3">
      <c r="A948" s="25">
        <v>44719</v>
      </c>
      <c r="B948" s="13">
        <v>2227.5500000000002</v>
      </c>
      <c r="C948" s="13">
        <f>VLOOKUP(A:A,'Nifty 50 '!$A:$B,2,0)</f>
        <v>16416.349999999999</v>
      </c>
      <c r="D948" s="13">
        <f t="shared" si="14"/>
        <v>-2.2862679222109789E-2</v>
      </c>
      <c r="E948" s="13">
        <f t="shared" si="14"/>
        <v>-3.6677021275259834E-3</v>
      </c>
      <c r="G948" s="4"/>
    </row>
    <row r="949" spans="1:7" x14ac:dyDescent="0.3">
      <c r="A949" s="25">
        <v>44718</v>
      </c>
      <c r="B949" s="13">
        <v>2225.0500000000002</v>
      </c>
      <c r="C949" s="13">
        <f>VLOOKUP(A:A,'Nifty 50 '!$A:$B,2,0)</f>
        <v>16569.55</v>
      </c>
      <c r="D949" s="13">
        <f t="shared" si="14"/>
        <v>1.1229395241912281E-3</v>
      </c>
      <c r="E949" s="13">
        <f t="shared" si="14"/>
        <v>-9.2888841322758733E-3</v>
      </c>
      <c r="G949" s="4"/>
    </row>
    <row r="950" spans="1:7" x14ac:dyDescent="0.3">
      <c r="A950" s="25">
        <v>44715</v>
      </c>
      <c r="B950" s="13">
        <v>2190</v>
      </c>
      <c r="C950" s="13">
        <f>VLOOKUP(A:A,'Nifty 50 '!$A:$B,2,0)</f>
        <v>16584.3</v>
      </c>
      <c r="D950" s="13">
        <f t="shared" si="14"/>
        <v>1.5877843447416835E-2</v>
      </c>
      <c r="E950" s="13">
        <f t="shared" si="14"/>
        <v>-8.8979113877667301E-4</v>
      </c>
      <c r="G950" s="4"/>
    </row>
    <row r="951" spans="1:7" x14ac:dyDescent="0.3">
      <c r="A951" s="25">
        <v>44714</v>
      </c>
      <c r="B951" s="13">
        <v>2209.4</v>
      </c>
      <c r="C951" s="13">
        <f>VLOOKUP(A:A,'Nifty 50 '!$A:$B,2,0)</f>
        <v>16628</v>
      </c>
      <c r="D951" s="13">
        <f t="shared" si="14"/>
        <v>-8.8194416276283095E-3</v>
      </c>
      <c r="E951" s="13">
        <f t="shared" si="14"/>
        <v>-2.6315566954934781E-3</v>
      </c>
      <c r="G951" s="4"/>
    </row>
    <row r="952" spans="1:7" x14ac:dyDescent="0.3">
      <c r="A952" s="25">
        <v>44713</v>
      </c>
      <c r="B952" s="13">
        <v>2150.9</v>
      </c>
      <c r="C952" s="13">
        <f>VLOOKUP(A:A,'Nifty 50 '!$A:$B,2,0)</f>
        <v>16522.75</v>
      </c>
      <c r="D952" s="13">
        <f t="shared" si="14"/>
        <v>2.6834626255787371E-2</v>
      </c>
      <c r="E952" s="13">
        <f t="shared" si="14"/>
        <v>6.3498022602603054E-3</v>
      </c>
      <c r="G952" s="4"/>
    </row>
    <row r="953" spans="1:7" x14ac:dyDescent="0.3">
      <c r="A953" s="25">
        <v>44712</v>
      </c>
      <c r="B953" s="13">
        <v>2167.5500000000002</v>
      </c>
      <c r="C953" s="13">
        <f>VLOOKUP(A:A,'Nifty 50 '!$A:$B,2,0)</f>
        <v>16584.55</v>
      </c>
      <c r="D953" s="13">
        <f t="shared" si="14"/>
        <v>-7.7111382569959456E-3</v>
      </c>
      <c r="E953" s="13">
        <f t="shared" si="14"/>
        <v>-3.7333199493177205E-3</v>
      </c>
      <c r="G953" s="4"/>
    </row>
    <row r="954" spans="1:7" x14ac:dyDescent="0.3">
      <c r="A954" s="25">
        <v>44711</v>
      </c>
      <c r="B954" s="13">
        <v>2165.65</v>
      </c>
      <c r="C954" s="13">
        <f>VLOOKUP(A:A,'Nifty 50 '!$A:$B,2,0)</f>
        <v>16661.400000000001</v>
      </c>
      <c r="D954" s="13">
        <f t="shared" si="14"/>
        <v>8.7695011620281152E-4</v>
      </c>
      <c r="E954" s="13">
        <f t="shared" si="14"/>
        <v>-4.6231277420674408E-3</v>
      </c>
      <c r="G954" s="4"/>
    </row>
    <row r="955" spans="1:7" x14ac:dyDescent="0.3">
      <c r="A955" s="25">
        <v>44708</v>
      </c>
      <c r="B955" s="13">
        <v>2080.15</v>
      </c>
      <c r="C955" s="13">
        <f>VLOOKUP(A:A,'Nifty 50 '!$A:$B,2,0)</f>
        <v>16352.45</v>
      </c>
      <c r="D955" s="13">
        <f t="shared" si="14"/>
        <v>4.0280540843390805E-2</v>
      </c>
      <c r="E955" s="13">
        <f t="shared" si="14"/>
        <v>1.8716933609406666E-2</v>
      </c>
      <c r="G955" s="4"/>
    </row>
    <row r="956" spans="1:7" x14ac:dyDescent="0.3">
      <c r="A956" s="25">
        <v>44707</v>
      </c>
      <c r="B956" s="13">
        <v>2046.4</v>
      </c>
      <c r="C956" s="13">
        <f>VLOOKUP(A:A,'Nifty 50 '!$A:$B,2,0)</f>
        <v>16170.15</v>
      </c>
      <c r="D956" s="13">
        <f t="shared" si="14"/>
        <v>1.635785465521139E-2</v>
      </c>
      <c r="E956" s="13">
        <f t="shared" si="14"/>
        <v>1.1210783228271726E-2</v>
      </c>
      <c r="G956" s="4"/>
    </row>
    <row r="957" spans="1:7" x14ac:dyDescent="0.3">
      <c r="A957" s="25">
        <v>44706</v>
      </c>
      <c r="B957" s="13">
        <v>2074.15</v>
      </c>
      <c r="C957" s="13">
        <f>VLOOKUP(A:A,'Nifty 50 '!$A:$B,2,0)</f>
        <v>16025.8</v>
      </c>
      <c r="D957" s="13">
        <f t="shared" si="14"/>
        <v>-1.3469279361210975E-2</v>
      </c>
      <c r="E957" s="13">
        <f t="shared" si="14"/>
        <v>8.9670264262852635E-3</v>
      </c>
      <c r="G957" s="4"/>
    </row>
    <row r="958" spans="1:7" x14ac:dyDescent="0.3">
      <c r="A958" s="25">
        <v>44705</v>
      </c>
      <c r="B958" s="13">
        <v>2160.1999999999998</v>
      </c>
      <c r="C958" s="13">
        <f>VLOOKUP(A:A,'Nifty 50 '!$A:$B,2,0)</f>
        <v>16125.15</v>
      </c>
      <c r="D958" s="13">
        <f t="shared" si="14"/>
        <v>-4.0649378798584386E-2</v>
      </c>
      <c r="E958" s="13">
        <f t="shared" si="14"/>
        <v>-6.1802414065991011E-3</v>
      </c>
      <c r="G958" s="4"/>
    </row>
    <row r="959" spans="1:7" x14ac:dyDescent="0.3">
      <c r="A959" s="25">
        <v>44704</v>
      </c>
      <c r="B959" s="13">
        <v>2170.65</v>
      </c>
      <c r="C959" s="13">
        <f>VLOOKUP(A:A,'Nifty 50 '!$A:$B,2,0)</f>
        <v>16214.7</v>
      </c>
      <c r="D959" s="13">
        <f t="shared" si="14"/>
        <v>-4.8258518677377861E-3</v>
      </c>
      <c r="E959" s="13">
        <f t="shared" si="14"/>
        <v>-5.5380732363732666E-3</v>
      </c>
      <c r="G959" s="4"/>
    </row>
    <row r="960" spans="1:7" x14ac:dyDescent="0.3">
      <c r="A960" s="25">
        <v>44701</v>
      </c>
      <c r="B960" s="13">
        <v>2219.5500000000002</v>
      </c>
      <c r="C960" s="13">
        <f>VLOOKUP(A:A,'Nifty 50 '!$A:$B,2,0)</f>
        <v>16266.15</v>
      </c>
      <c r="D960" s="13">
        <f t="shared" si="14"/>
        <v>-2.2277810764541616E-2</v>
      </c>
      <c r="E960" s="13">
        <f t="shared" si="14"/>
        <v>-3.168023190952943E-3</v>
      </c>
      <c r="G960" s="4"/>
    </row>
    <row r="961" spans="1:7" x14ac:dyDescent="0.3">
      <c r="A961" s="25">
        <v>44700</v>
      </c>
      <c r="B961" s="13">
        <v>2114.75</v>
      </c>
      <c r="C961" s="13">
        <f>VLOOKUP(A:A,'Nifty 50 '!$A:$B,2,0)</f>
        <v>15809.4</v>
      </c>
      <c r="D961" s="13">
        <f t="shared" si="14"/>
        <v>4.8367870432529166E-2</v>
      </c>
      <c r="E961" s="13">
        <f t="shared" si="14"/>
        <v>2.8481561554378136E-2</v>
      </c>
      <c r="G961" s="4"/>
    </row>
    <row r="962" spans="1:7" x14ac:dyDescent="0.3">
      <c r="A962" s="25">
        <v>44699</v>
      </c>
      <c r="B962" s="13">
        <v>2181.1</v>
      </c>
      <c r="C962" s="13">
        <f>VLOOKUP(A:A,'Nifty 50 '!$A:$B,2,0)</f>
        <v>16240.3</v>
      </c>
      <c r="D962" s="13">
        <f t="shared" si="14"/>
        <v>-3.0892734493682902E-2</v>
      </c>
      <c r="E962" s="13">
        <f t="shared" si="14"/>
        <v>-2.689110763221448E-2</v>
      </c>
      <c r="G962" s="4"/>
    </row>
    <row r="963" spans="1:7" x14ac:dyDescent="0.3">
      <c r="A963" s="25">
        <v>44698</v>
      </c>
      <c r="B963" s="13">
        <v>2184.85</v>
      </c>
      <c r="C963" s="13">
        <f>VLOOKUP(A:A,'Nifty 50 '!$A:$B,2,0)</f>
        <v>16259.3</v>
      </c>
      <c r="D963" s="13">
        <f t="shared" si="14"/>
        <v>-1.7178396097889419E-3</v>
      </c>
      <c r="E963" s="13">
        <f t="shared" si="14"/>
        <v>-1.1692452931500745E-3</v>
      </c>
      <c r="G963" s="4"/>
    </row>
    <row r="964" spans="1:7" x14ac:dyDescent="0.3">
      <c r="A964" s="25">
        <v>44697</v>
      </c>
      <c r="B964" s="13">
        <v>2105.9</v>
      </c>
      <c r="C964" s="13">
        <f>VLOOKUP(A:A,'Nifty 50 '!$A:$B,2,0)</f>
        <v>15842.3</v>
      </c>
      <c r="D964" s="13">
        <f t="shared" ref="D964:E1027" si="15">LN(B963/B964)</f>
        <v>3.6804247101862961E-2</v>
      </c>
      <c r="E964" s="13">
        <f t="shared" si="15"/>
        <v>2.5981474896775072E-2</v>
      </c>
      <c r="G964" s="4"/>
    </row>
    <row r="965" spans="1:7" x14ac:dyDescent="0.3">
      <c r="A965" s="25">
        <v>44694</v>
      </c>
      <c r="B965" s="13">
        <v>2054.15</v>
      </c>
      <c r="C965" s="13">
        <f>VLOOKUP(A:A,'Nifty 50 '!$A:$B,2,0)</f>
        <v>15782.15</v>
      </c>
      <c r="D965" s="13">
        <f t="shared" si="15"/>
        <v>2.4880792126075957E-2</v>
      </c>
      <c r="E965" s="13">
        <f t="shared" si="15"/>
        <v>3.8040233132169052E-3</v>
      </c>
      <c r="G965" s="4"/>
    </row>
    <row r="966" spans="1:7" x14ac:dyDescent="0.3">
      <c r="A966" s="25">
        <v>44693</v>
      </c>
      <c r="B966" s="13">
        <v>2045.2</v>
      </c>
      <c r="C966" s="13">
        <f>VLOOKUP(A:A,'Nifty 50 '!$A:$B,2,0)</f>
        <v>15808</v>
      </c>
      <c r="D966" s="13">
        <f t="shared" si="15"/>
        <v>4.3665528538127463E-3</v>
      </c>
      <c r="E966" s="13">
        <f t="shared" si="15"/>
        <v>-1.6365864530401846E-3</v>
      </c>
      <c r="G966" s="4"/>
    </row>
    <row r="967" spans="1:7" x14ac:dyDescent="0.3">
      <c r="A967" s="25">
        <v>44692</v>
      </c>
      <c r="B967" s="13">
        <v>2119.3000000000002</v>
      </c>
      <c r="C967" s="13">
        <f>VLOOKUP(A:A,'Nifty 50 '!$A:$B,2,0)</f>
        <v>16167.1</v>
      </c>
      <c r="D967" s="13">
        <f t="shared" si="15"/>
        <v>-3.5590261256684227E-2</v>
      </c>
      <c r="E967" s="13">
        <f t="shared" si="15"/>
        <v>-2.2462172034303025E-2</v>
      </c>
      <c r="G967" s="4"/>
    </row>
    <row r="968" spans="1:7" x14ac:dyDescent="0.3">
      <c r="A968" s="25">
        <v>44691</v>
      </c>
      <c r="B968" s="13">
        <v>2109.5</v>
      </c>
      <c r="C968" s="13">
        <f>VLOOKUP(A:A,'Nifty 50 '!$A:$B,2,0)</f>
        <v>16240.05</v>
      </c>
      <c r="D968" s="13">
        <f t="shared" si="15"/>
        <v>4.6348928981350358E-3</v>
      </c>
      <c r="E968" s="13">
        <f t="shared" si="15"/>
        <v>-4.5021005067112096E-3</v>
      </c>
      <c r="G968" s="4"/>
    </row>
    <row r="969" spans="1:7" x14ac:dyDescent="0.3">
      <c r="A969" s="25">
        <v>44690</v>
      </c>
      <c r="B969" s="13">
        <v>2197.65</v>
      </c>
      <c r="C969" s="13">
        <f>VLOOKUP(A:A,'Nifty 50 '!$A:$B,2,0)</f>
        <v>16301.85</v>
      </c>
      <c r="D969" s="13">
        <f t="shared" si="15"/>
        <v>-4.0937655051038413E-2</v>
      </c>
      <c r="E969" s="13">
        <f t="shared" si="15"/>
        <v>-3.798184758416227E-3</v>
      </c>
      <c r="G969" s="4"/>
    </row>
    <row r="970" spans="1:7" x14ac:dyDescent="0.3">
      <c r="A970" s="25">
        <v>44687</v>
      </c>
      <c r="B970" s="13">
        <v>2247.6999999999998</v>
      </c>
      <c r="C970" s="13">
        <f>VLOOKUP(A:A,'Nifty 50 '!$A:$B,2,0)</f>
        <v>16411.25</v>
      </c>
      <c r="D970" s="13">
        <f t="shared" si="15"/>
        <v>-2.2518863535349751E-2</v>
      </c>
      <c r="E970" s="13">
        <f t="shared" si="15"/>
        <v>-6.688476961240644E-3</v>
      </c>
      <c r="G970" s="4"/>
    </row>
    <row r="971" spans="1:7" x14ac:dyDescent="0.3">
      <c r="A971" s="25">
        <v>44686</v>
      </c>
      <c r="B971" s="13">
        <v>2255.4</v>
      </c>
      <c r="C971" s="13">
        <f>VLOOKUP(A:A,'Nifty 50 '!$A:$B,2,0)</f>
        <v>16682.650000000001</v>
      </c>
      <c r="D971" s="13">
        <f t="shared" si="15"/>
        <v>-3.4198696474058363E-3</v>
      </c>
      <c r="E971" s="13">
        <f t="shared" si="15"/>
        <v>-1.6402181947133422E-2</v>
      </c>
      <c r="G971" s="4"/>
    </row>
    <row r="972" spans="1:7" x14ac:dyDescent="0.3">
      <c r="A972" s="25">
        <v>44685</v>
      </c>
      <c r="B972" s="13">
        <v>2253.8000000000002</v>
      </c>
      <c r="C972" s="13">
        <f>VLOOKUP(A:A,'Nifty 50 '!$A:$B,2,0)</f>
        <v>16677.599999999999</v>
      </c>
      <c r="D972" s="13">
        <f t="shared" si="15"/>
        <v>7.0966027993829366E-4</v>
      </c>
      <c r="E972" s="13">
        <f t="shared" si="15"/>
        <v>3.0275552722641301E-4</v>
      </c>
      <c r="G972" s="4"/>
    </row>
    <row r="973" spans="1:7" x14ac:dyDescent="0.3">
      <c r="A973" s="25">
        <v>44683</v>
      </c>
      <c r="B973" s="13">
        <v>2339.5</v>
      </c>
      <c r="C973" s="13">
        <f>VLOOKUP(A:A,'Nifty 50 '!$A:$B,2,0)</f>
        <v>17069.099999999999</v>
      </c>
      <c r="D973" s="13">
        <f t="shared" si="15"/>
        <v>-3.7319550788021912E-2</v>
      </c>
      <c r="E973" s="13">
        <f t="shared" si="15"/>
        <v>-2.3203309652967317E-2</v>
      </c>
      <c r="G973" s="4"/>
    </row>
    <row r="974" spans="1:7" x14ac:dyDescent="0.3">
      <c r="A974" s="25">
        <v>44680</v>
      </c>
      <c r="B974" s="13">
        <v>2332</v>
      </c>
      <c r="C974" s="13">
        <f>VLOOKUP(A:A,'Nifty 50 '!$A:$B,2,0)</f>
        <v>17102.55</v>
      </c>
      <c r="D974" s="13">
        <f t="shared" si="15"/>
        <v>3.2109628358879673E-3</v>
      </c>
      <c r="E974" s="13">
        <f t="shared" si="15"/>
        <v>-1.957763858873641E-3</v>
      </c>
      <c r="G974" s="4"/>
    </row>
    <row r="975" spans="1:7" x14ac:dyDescent="0.3">
      <c r="A975" s="25">
        <v>44679</v>
      </c>
      <c r="B975" s="13">
        <v>2378.5500000000002</v>
      </c>
      <c r="C975" s="13">
        <f>VLOOKUP(A:A,'Nifty 50 '!$A:$B,2,0)</f>
        <v>17245.05</v>
      </c>
      <c r="D975" s="13">
        <f t="shared" si="15"/>
        <v>-1.9764789833303258E-2</v>
      </c>
      <c r="E975" s="13">
        <f t="shared" si="15"/>
        <v>-8.297570577797668E-3</v>
      </c>
      <c r="G975" s="4"/>
    </row>
    <row r="976" spans="1:7" x14ac:dyDescent="0.3">
      <c r="A976" s="25">
        <v>44678</v>
      </c>
      <c r="B976" s="13">
        <v>2334.1</v>
      </c>
      <c r="C976" s="13">
        <f>VLOOKUP(A:A,'Nifty 50 '!$A:$B,2,0)</f>
        <v>17038.400000000001</v>
      </c>
      <c r="D976" s="13">
        <f t="shared" si="15"/>
        <v>1.8864680473544917E-2</v>
      </c>
      <c r="E976" s="13">
        <f t="shared" si="15"/>
        <v>1.2055525496746364E-2</v>
      </c>
      <c r="G976" s="4"/>
    </row>
    <row r="977" spans="1:7" x14ac:dyDescent="0.3">
      <c r="A977" s="25">
        <v>44677</v>
      </c>
      <c r="B977" s="13">
        <v>2395.3000000000002</v>
      </c>
      <c r="C977" s="13">
        <f>VLOOKUP(A:A,'Nifty 50 '!$A:$B,2,0)</f>
        <v>17200.8</v>
      </c>
      <c r="D977" s="13">
        <f t="shared" si="15"/>
        <v>-2.5882106130709299E-2</v>
      </c>
      <c r="E977" s="13">
        <f t="shared" si="15"/>
        <v>-9.4862740866997596E-3</v>
      </c>
      <c r="G977" s="4"/>
    </row>
    <row r="978" spans="1:7" x14ac:dyDescent="0.3">
      <c r="A978" s="25">
        <v>44676</v>
      </c>
      <c r="B978" s="13">
        <v>2284.1999999999998</v>
      </c>
      <c r="C978" s="13">
        <f>VLOOKUP(A:A,'Nifty 50 '!$A:$B,2,0)</f>
        <v>16953.95</v>
      </c>
      <c r="D978" s="13">
        <f t="shared" si="15"/>
        <v>4.749263034434404E-2</v>
      </c>
      <c r="E978" s="13">
        <f t="shared" si="15"/>
        <v>1.4455049340358107E-2</v>
      </c>
      <c r="G978" s="4"/>
    </row>
    <row r="979" spans="1:7" x14ac:dyDescent="0.3">
      <c r="A979" s="25">
        <v>44673</v>
      </c>
      <c r="B979" s="13">
        <v>2273.3000000000002</v>
      </c>
      <c r="C979" s="13">
        <f>VLOOKUP(A:A,'Nifty 50 '!$A:$B,2,0)</f>
        <v>17171.95</v>
      </c>
      <c r="D979" s="13">
        <f t="shared" si="15"/>
        <v>4.7833333112058327E-3</v>
      </c>
      <c r="E979" s="13">
        <f t="shared" si="15"/>
        <v>-1.2776393616003143E-2</v>
      </c>
      <c r="G979" s="4"/>
    </row>
    <row r="980" spans="1:7" x14ac:dyDescent="0.3">
      <c r="A980" s="25">
        <v>44672</v>
      </c>
      <c r="B980" s="13">
        <v>2286.35</v>
      </c>
      <c r="C980" s="13">
        <f>VLOOKUP(A:A,'Nifty 50 '!$A:$B,2,0)</f>
        <v>17392.599999999999</v>
      </c>
      <c r="D980" s="13">
        <f t="shared" si="15"/>
        <v>-5.7241391917162475E-3</v>
      </c>
      <c r="E980" s="13">
        <f t="shared" si="15"/>
        <v>-1.2767589762518079E-2</v>
      </c>
      <c r="G980" s="4"/>
    </row>
    <row r="981" spans="1:7" x14ac:dyDescent="0.3">
      <c r="A981" s="25">
        <v>44671</v>
      </c>
      <c r="B981" s="13">
        <v>2183.9499999999998</v>
      </c>
      <c r="C981" s="13">
        <f>VLOOKUP(A:A,'Nifty 50 '!$A:$B,2,0)</f>
        <v>17136.55</v>
      </c>
      <c r="D981" s="13">
        <f t="shared" si="15"/>
        <v>4.5821495667181605E-2</v>
      </c>
      <c r="E981" s="13">
        <f t="shared" si="15"/>
        <v>1.4831219041721086E-2</v>
      </c>
      <c r="G981" s="4"/>
    </row>
    <row r="982" spans="1:7" x14ac:dyDescent="0.3">
      <c r="A982" s="25">
        <v>44670</v>
      </c>
      <c r="B982" s="13">
        <v>2168.3000000000002</v>
      </c>
      <c r="C982" s="13">
        <f>VLOOKUP(A:A,'Nifty 50 '!$A:$B,2,0)</f>
        <v>16958.650000000001</v>
      </c>
      <c r="D982" s="13">
        <f t="shared" si="15"/>
        <v>7.1917134596633245E-3</v>
      </c>
      <c r="E982" s="13">
        <f t="shared" si="15"/>
        <v>1.0435581223143465E-2</v>
      </c>
      <c r="G982" s="4"/>
    </row>
    <row r="983" spans="1:7" x14ac:dyDescent="0.3">
      <c r="A983" s="25">
        <v>44669</v>
      </c>
      <c r="B983" s="13">
        <v>2233.85</v>
      </c>
      <c r="C983" s="13">
        <f>VLOOKUP(A:A,'Nifty 50 '!$A:$B,2,0)</f>
        <v>17173.650000000001</v>
      </c>
      <c r="D983" s="13">
        <f t="shared" si="15"/>
        <v>-2.9783103868626652E-2</v>
      </c>
      <c r="E983" s="13">
        <f t="shared" si="15"/>
        <v>-1.2598204259997624E-2</v>
      </c>
      <c r="G983" s="4"/>
    </row>
    <row r="984" spans="1:7" x14ac:dyDescent="0.3">
      <c r="A984" s="25">
        <v>44664</v>
      </c>
      <c r="B984" s="13">
        <v>2199.4499999999998</v>
      </c>
      <c r="C984" s="13">
        <f>VLOOKUP(A:A,'Nifty 50 '!$A:$B,2,0)</f>
        <v>17475.650000000001</v>
      </c>
      <c r="D984" s="13">
        <f t="shared" si="15"/>
        <v>1.5519225147600898E-2</v>
      </c>
      <c r="E984" s="13">
        <f t="shared" si="15"/>
        <v>-1.7432251023419793E-2</v>
      </c>
      <c r="G984" s="4"/>
    </row>
    <row r="985" spans="1:7" x14ac:dyDescent="0.3">
      <c r="A985" s="25">
        <v>44663</v>
      </c>
      <c r="B985" s="13">
        <v>2196.9499999999998</v>
      </c>
      <c r="C985" s="13">
        <f>VLOOKUP(A:A,'Nifty 50 '!$A:$B,2,0)</f>
        <v>17530.3</v>
      </c>
      <c r="D985" s="13">
        <f t="shared" si="15"/>
        <v>1.1372942723438483E-3</v>
      </c>
      <c r="E985" s="13">
        <f t="shared" si="15"/>
        <v>-3.1223288839913239E-3</v>
      </c>
      <c r="G985" s="4"/>
    </row>
    <row r="986" spans="1:7" x14ac:dyDescent="0.3">
      <c r="A986" s="25">
        <v>44662</v>
      </c>
      <c r="B986" s="13">
        <v>2180.1999999999998</v>
      </c>
      <c r="C986" s="13">
        <f>VLOOKUP(A:A,'Nifty 50 '!$A:$B,2,0)</f>
        <v>17674.95</v>
      </c>
      <c r="D986" s="13">
        <f t="shared" si="15"/>
        <v>7.6534191245958517E-3</v>
      </c>
      <c r="E986" s="13">
        <f t="shared" si="15"/>
        <v>-8.217570617932296E-3</v>
      </c>
      <c r="G986" s="4"/>
    </row>
    <row r="987" spans="1:7" x14ac:dyDescent="0.3">
      <c r="A987" s="25">
        <v>44659</v>
      </c>
      <c r="B987" s="13">
        <v>2170.9499999999998</v>
      </c>
      <c r="C987" s="13">
        <f>VLOOKUP(A:A,'Nifty 50 '!$A:$B,2,0)</f>
        <v>17784.349999999999</v>
      </c>
      <c r="D987" s="13">
        <f t="shared" si="15"/>
        <v>4.2517559425349332E-3</v>
      </c>
      <c r="E987" s="13">
        <f t="shared" si="15"/>
        <v>-6.1704741556992595E-3</v>
      </c>
      <c r="G987" s="4"/>
    </row>
    <row r="988" spans="1:7" x14ac:dyDescent="0.3">
      <c r="A988" s="25">
        <v>44658</v>
      </c>
      <c r="B988" s="13">
        <v>2099.0500000000002</v>
      </c>
      <c r="C988" s="13">
        <f>VLOOKUP(A:A,'Nifty 50 '!$A:$B,2,0)</f>
        <v>17639.55</v>
      </c>
      <c r="D988" s="13">
        <f t="shared" si="15"/>
        <v>3.3679998347722971E-2</v>
      </c>
      <c r="E988" s="13">
        <f t="shared" si="15"/>
        <v>8.1753170308477494E-3</v>
      </c>
      <c r="G988" s="4"/>
    </row>
    <row r="989" spans="1:7" x14ac:dyDescent="0.3">
      <c r="A989" s="25">
        <v>44657</v>
      </c>
      <c r="B989" s="13">
        <v>2160</v>
      </c>
      <c r="C989" s="13">
        <f>VLOOKUP(A:A,'Nifty 50 '!$A:$B,2,0)</f>
        <v>17807.650000000001</v>
      </c>
      <c r="D989" s="13">
        <f t="shared" si="15"/>
        <v>-2.8623360274210377E-2</v>
      </c>
      <c r="E989" s="13">
        <f t="shared" si="15"/>
        <v>-9.4846002028219235E-3</v>
      </c>
      <c r="G989" s="4"/>
    </row>
    <row r="990" spans="1:7" x14ac:dyDescent="0.3">
      <c r="A990" s="25">
        <v>44656</v>
      </c>
      <c r="B990" s="13">
        <v>2139.85</v>
      </c>
      <c r="C990" s="13">
        <f>VLOOKUP(A:A,'Nifty 50 '!$A:$B,2,0)</f>
        <v>17957.400000000001</v>
      </c>
      <c r="D990" s="13">
        <f t="shared" si="15"/>
        <v>9.3724885769187576E-3</v>
      </c>
      <c r="E990" s="13">
        <f t="shared" si="15"/>
        <v>-8.3741459954355391E-3</v>
      </c>
      <c r="G990" s="4"/>
    </row>
    <row r="991" spans="1:7" x14ac:dyDescent="0.3">
      <c r="A991" s="25">
        <v>44655</v>
      </c>
      <c r="B991" s="13">
        <v>2065.85</v>
      </c>
      <c r="C991" s="13">
        <f>VLOOKUP(A:A,'Nifty 50 '!$A:$B,2,0)</f>
        <v>18053.400000000001</v>
      </c>
      <c r="D991" s="13">
        <f t="shared" si="15"/>
        <v>3.5193969123338602E-2</v>
      </c>
      <c r="E991" s="13">
        <f t="shared" si="15"/>
        <v>-5.3317464438475612E-3</v>
      </c>
      <c r="G991" s="4"/>
    </row>
    <row r="992" spans="1:7" x14ac:dyDescent="0.3">
      <c r="A992" s="25">
        <v>44652</v>
      </c>
      <c r="B992" s="13">
        <v>2043.65</v>
      </c>
      <c r="C992" s="13">
        <f>VLOOKUP(A:A,'Nifty 50 '!$A:$B,2,0)</f>
        <v>17670.45</v>
      </c>
      <c r="D992" s="13">
        <f t="shared" si="15"/>
        <v>1.0804339193093428E-2</v>
      </c>
      <c r="E992" s="13">
        <f t="shared" si="15"/>
        <v>2.144027979090949E-2</v>
      </c>
      <c r="G992" s="4"/>
    </row>
    <row r="993" spans="1:7" x14ac:dyDescent="0.3">
      <c r="A993" s="25">
        <v>44651</v>
      </c>
      <c r="B993" s="13">
        <v>2014.75</v>
      </c>
      <c r="C993" s="13">
        <f>VLOOKUP(A:A,'Nifty 50 '!$A:$B,2,0)</f>
        <v>17464.75</v>
      </c>
      <c r="D993" s="13">
        <f t="shared" si="15"/>
        <v>1.4242306580239197E-2</v>
      </c>
      <c r="E993" s="13">
        <f t="shared" si="15"/>
        <v>1.1709189086995933E-2</v>
      </c>
      <c r="G993" s="4"/>
    </row>
    <row r="994" spans="1:7" x14ac:dyDescent="0.3">
      <c r="A994" s="25">
        <v>44650</v>
      </c>
      <c r="B994" s="13">
        <v>1995.25</v>
      </c>
      <c r="C994" s="13">
        <f>VLOOKUP(A:A,'Nifty 50 '!$A:$B,2,0)</f>
        <v>17498.25</v>
      </c>
      <c r="D994" s="13">
        <f t="shared" si="15"/>
        <v>9.7257624485023765E-3</v>
      </c>
      <c r="E994" s="13">
        <f t="shared" si="15"/>
        <v>-1.916312115762529E-3</v>
      </c>
      <c r="G994" s="4"/>
    </row>
    <row r="995" spans="1:7" x14ac:dyDescent="0.3">
      <c r="A995" s="25">
        <v>44649</v>
      </c>
      <c r="B995" s="13">
        <v>1917.25</v>
      </c>
      <c r="C995" s="13">
        <f>VLOOKUP(A:A,'Nifty 50 '!$A:$B,2,0)</f>
        <v>17325.3</v>
      </c>
      <c r="D995" s="13">
        <f t="shared" si="15"/>
        <v>3.987748811114955E-2</v>
      </c>
      <c r="E995" s="13">
        <f t="shared" si="15"/>
        <v>9.9330149857725092E-3</v>
      </c>
      <c r="G995" s="4"/>
    </row>
    <row r="996" spans="1:7" x14ac:dyDescent="0.3">
      <c r="A996" s="25">
        <v>44648</v>
      </c>
      <c r="B996" s="13">
        <v>1909.7</v>
      </c>
      <c r="C996" s="13">
        <f>VLOOKUP(A:A,'Nifty 50 '!$A:$B,2,0)</f>
        <v>17222</v>
      </c>
      <c r="D996" s="13">
        <f t="shared" si="15"/>
        <v>3.9457060036002627E-3</v>
      </c>
      <c r="E996" s="13">
        <f t="shared" si="15"/>
        <v>5.9802246693889541E-3</v>
      </c>
      <c r="G996" s="4"/>
    </row>
    <row r="997" spans="1:7" x14ac:dyDescent="0.3">
      <c r="A997" s="25">
        <v>44645</v>
      </c>
      <c r="B997" s="13">
        <v>1867</v>
      </c>
      <c r="C997" s="13">
        <f>VLOOKUP(A:A,'Nifty 50 '!$A:$B,2,0)</f>
        <v>17153</v>
      </c>
      <c r="D997" s="13">
        <f t="shared" si="15"/>
        <v>2.2613297099645858E-2</v>
      </c>
      <c r="E997" s="13">
        <f t="shared" si="15"/>
        <v>4.0145508462854406E-3</v>
      </c>
      <c r="G997" s="4"/>
    </row>
    <row r="998" spans="1:7" x14ac:dyDescent="0.3">
      <c r="A998" s="25">
        <v>44644</v>
      </c>
      <c r="B998" s="13">
        <v>1832.8</v>
      </c>
      <c r="C998" s="13">
        <f>VLOOKUP(A:A,'Nifty 50 '!$A:$B,2,0)</f>
        <v>17222.75</v>
      </c>
      <c r="D998" s="13">
        <f t="shared" si="15"/>
        <v>1.8488012402436832E-2</v>
      </c>
      <c r="E998" s="13">
        <f t="shared" si="15"/>
        <v>-4.0580988470762082E-3</v>
      </c>
      <c r="G998" s="4"/>
    </row>
    <row r="999" spans="1:7" x14ac:dyDescent="0.3">
      <c r="A999" s="25">
        <v>44643</v>
      </c>
      <c r="B999" s="13">
        <v>1811</v>
      </c>
      <c r="C999" s="13">
        <f>VLOOKUP(A:A,'Nifty 50 '!$A:$B,2,0)</f>
        <v>17245.650000000001</v>
      </c>
      <c r="D999" s="13">
        <f t="shared" si="15"/>
        <v>1.1965673255872255E-2</v>
      </c>
      <c r="E999" s="13">
        <f t="shared" si="15"/>
        <v>-1.3287534883735959E-3</v>
      </c>
      <c r="G999" s="4"/>
    </row>
    <row r="1000" spans="1:7" x14ac:dyDescent="0.3">
      <c r="A1000" s="25">
        <v>44642</v>
      </c>
      <c r="B1000" s="13">
        <v>1831.55</v>
      </c>
      <c r="C1000" s="13">
        <f>VLOOKUP(A:A,'Nifty 50 '!$A:$B,2,0)</f>
        <v>17315.5</v>
      </c>
      <c r="D1000" s="13">
        <f t="shared" si="15"/>
        <v>-1.1283423990116741E-2</v>
      </c>
      <c r="E1000" s="13">
        <f t="shared" si="15"/>
        <v>-4.0421163708296457E-3</v>
      </c>
      <c r="G1000" s="4"/>
    </row>
    <row r="1001" spans="1:7" x14ac:dyDescent="0.3">
      <c r="A1001" s="25">
        <v>44641</v>
      </c>
      <c r="B1001" s="13">
        <v>1802.95</v>
      </c>
      <c r="C1001" s="13">
        <f>VLOOKUP(A:A,'Nifty 50 '!$A:$B,2,0)</f>
        <v>17117.599999999999</v>
      </c>
      <c r="D1001" s="13">
        <f t="shared" si="15"/>
        <v>1.5738390613253096E-2</v>
      </c>
      <c r="E1001" s="13">
        <f t="shared" si="15"/>
        <v>1.1494880163363386E-2</v>
      </c>
      <c r="G1001" s="4"/>
    </row>
    <row r="1002" spans="1:7" x14ac:dyDescent="0.3">
      <c r="A1002" s="25">
        <v>44637</v>
      </c>
      <c r="B1002" s="13">
        <v>1819.65</v>
      </c>
      <c r="C1002" s="13">
        <f>VLOOKUP(A:A,'Nifty 50 '!$A:$B,2,0)</f>
        <v>17287.05</v>
      </c>
      <c r="D1002" s="13">
        <f t="shared" si="15"/>
        <v>-9.2199626247611768E-3</v>
      </c>
      <c r="E1002" s="13">
        <f t="shared" si="15"/>
        <v>-9.850492312713139E-3</v>
      </c>
      <c r="G1002" s="4"/>
    </row>
    <row r="1003" spans="1:7" x14ac:dyDescent="0.3">
      <c r="A1003" s="25">
        <v>44636</v>
      </c>
      <c r="B1003" s="13">
        <v>1758</v>
      </c>
      <c r="C1003" s="13">
        <f>VLOOKUP(A:A,'Nifty 50 '!$A:$B,2,0)</f>
        <v>16975.349999999999</v>
      </c>
      <c r="D1003" s="13">
        <f t="shared" si="15"/>
        <v>3.446737563991574E-2</v>
      </c>
      <c r="E1003" s="13">
        <f t="shared" si="15"/>
        <v>1.8195374494415762E-2</v>
      </c>
      <c r="G1003" s="4"/>
    </row>
    <row r="1004" spans="1:7" x14ac:dyDescent="0.3">
      <c r="A1004" s="25">
        <v>44635</v>
      </c>
      <c r="B1004" s="13">
        <v>1701.4</v>
      </c>
      <c r="C1004" s="13">
        <f>VLOOKUP(A:A,'Nifty 50 '!$A:$B,2,0)</f>
        <v>16663</v>
      </c>
      <c r="D1004" s="13">
        <f t="shared" si="15"/>
        <v>3.2725357703338301E-2</v>
      </c>
      <c r="E1004" s="13">
        <f t="shared" si="15"/>
        <v>1.8571599232414908E-2</v>
      </c>
      <c r="G1004" s="4"/>
    </row>
    <row r="1005" spans="1:7" x14ac:dyDescent="0.3">
      <c r="A1005" s="25">
        <v>44634</v>
      </c>
      <c r="B1005" s="13">
        <v>1736.1</v>
      </c>
      <c r="C1005" s="13">
        <f>VLOOKUP(A:A,'Nifty 50 '!$A:$B,2,0)</f>
        <v>16871.3</v>
      </c>
      <c r="D1005" s="13">
        <f t="shared" si="15"/>
        <v>-2.0189776706118701E-2</v>
      </c>
      <c r="E1005" s="13">
        <f t="shared" si="15"/>
        <v>-1.2423260902022252E-2</v>
      </c>
      <c r="G1005" s="4"/>
    </row>
    <row r="1006" spans="1:7" x14ac:dyDescent="0.3">
      <c r="A1006" s="25">
        <v>44631</v>
      </c>
      <c r="B1006" s="13">
        <v>1734.1</v>
      </c>
      <c r="C1006" s="13">
        <f>VLOOKUP(A:A,'Nifty 50 '!$A:$B,2,0)</f>
        <v>16630.45</v>
      </c>
      <c r="D1006" s="13">
        <f t="shared" si="15"/>
        <v>1.1526714433991176E-3</v>
      </c>
      <c r="E1006" s="13">
        <f t="shared" si="15"/>
        <v>1.4378601088806696E-2</v>
      </c>
      <c r="G1006" s="4"/>
    </row>
    <row r="1007" spans="1:7" x14ac:dyDescent="0.3">
      <c r="A1007" s="25">
        <v>44630</v>
      </c>
      <c r="B1007" s="13">
        <v>1742.85</v>
      </c>
      <c r="C1007" s="13">
        <f>VLOOKUP(A:A,'Nifty 50 '!$A:$B,2,0)</f>
        <v>16594.900000000001</v>
      </c>
      <c r="D1007" s="13">
        <f t="shared" si="15"/>
        <v>-5.0331574924770148E-3</v>
      </c>
      <c r="E1007" s="13">
        <f t="shared" si="15"/>
        <v>2.1399331273389121E-3</v>
      </c>
      <c r="G1007" s="4"/>
    </row>
    <row r="1008" spans="1:7" x14ac:dyDescent="0.3">
      <c r="A1008" s="25">
        <v>44629</v>
      </c>
      <c r="B1008" s="13">
        <v>1656.55</v>
      </c>
      <c r="C1008" s="13">
        <f>VLOOKUP(A:A,'Nifty 50 '!$A:$B,2,0)</f>
        <v>16345.35</v>
      </c>
      <c r="D1008" s="13">
        <f t="shared" si="15"/>
        <v>5.0784577889410237E-2</v>
      </c>
      <c r="E1008" s="13">
        <f t="shared" si="15"/>
        <v>1.5151966019218735E-2</v>
      </c>
      <c r="G1008" s="4"/>
    </row>
    <row r="1009" spans="1:7" x14ac:dyDescent="0.3">
      <c r="A1009" s="25">
        <v>44628</v>
      </c>
      <c r="B1009" s="13">
        <v>1601.6</v>
      </c>
      <c r="C1009" s="13">
        <f>VLOOKUP(A:A,'Nifty 50 '!$A:$B,2,0)</f>
        <v>16013.45</v>
      </c>
      <c r="D1009" s="13">
        <f t="shared" si="15"/>
        <v>3.3733996846614225E-2</v>
      </c>
      <c r="E1009" s="13">
        <f t="shared" si="15"/>
        <v>2.0514459110673795E-2</v>
      </c>
      <c r="G1009" s="4"/>
    </row>
    <row r="1010" spans="1:7" x14ac:dyDescent="0.3">
      <c r="A1010" s="25">
        <v>44627</v>
      </c>
      <c r="B1010" s="13">
        <v>1564.05</v>
      </c>
      <c r="C1010" s="13">
        <f>VLOOKUP(A:A,'Nifty 50 '!$A:$B,2,0)</f>
        <v>15863.15</v>
      </c>
      <c r="D1010" s="13">
        <f t="shared" si="15"/>
        <v>2.3724518657244391E-2</v>
      </c>
      <c r="E1010" s="13">
        <f t="shared" si="15"/>
        <v>9.4301847641446827E-3</v>
      </c>
      <c r="G1010" s="4"/>
    </row>
    <row r="1011" spans="1:7" x14ac:dyDescent="0.3">
      <c r="A1011" s="25">
        <v>44624</v>
      </c>
      <c r="B1011" s="13">
        <v>1615</v>
      </c>
      <c r="C1011" s="13">
        <f>VLOOKUP(A:A,'Nifty 50 '!$A:$B,2,0)</f>
        <v>16245.35</v>
      </c>
      <c r="D1011" s="13">
        <f t="shared" si="15"/>
        <v>-3.205634575304514E-2</v>
      </c>
      <c r="E1011" s="13">
        <f t="shared" si="15"/>
        <v>-2.3807904631442889E-2</v>
      </c>
      <c r="G1011" s="4"/>
    </row>
    <row r="1012" spans="1:7" x14ac:dyDescent="0.3">
      <c r="A1012" s="25">
        <v>44623</v>
      </c>
      <c r="B1012" s="13">
        <v>1643.8</v>
      </c>
      <c r="C1012" s="13">
        <f>VLOOKUP(A:A,'Nifty 50 '!$A:$B,2,0)</f>
        <v>16498.05</v>
      </c>
      <c r="D1012" s="13">
        <f t="shared" si="15"/>
        <v>-1.7675678057642714E-2</v>
      </c>
      <c r="E1012" s="13">
        <f t="shared" si="15"/>
        <v>-1.5435478124563093E-2</v>
      </c>
      <c r="G1012" s="4"/>
    </row>
    <row r="1013" spans="1:7" x14ac:dyDescent="0.3">
      <c r="A1013" s="25">
        <v>44622</v>
      </c>
      <c r="B1013" s="13">
        <v>1641.8</v>
      </c>
      <c r="C1013" s="13">
        <f>VLOOKUP(A:A,'Nifty 50 '!$A:$B,2,0)</f>
        <v>16605.95</v>
      </c>
      <c r="D1013" s="13">
        <f t="shared" si="15"/>
        <v>1.2174338002339078E-3</v>
      </c>
      <c r="E1013" s="13">
        <f t="shared" si="15"/>
        <v>-6.5188727710802086E-3</v>
      </c>
      <c r="G1013" s="4"/>
    </row>
    <row r="1014" spans="1:7" x14ac:dyDescent="0.3">
      <c r="A1014" s="25">
        <v>44620</v>
      </c>
      <c r="B1014" s="13">
        <v>1644.45</v>
      </c>
      <c r="C1014" s="13">
        <f>VLOOKUP(A:A,'Nifty 50 '!$A:$B,2,0)</f>
        <v>16793.900000000001</v>
      </c>
      <c r="D1014" s="13">
        <f t="shared" si="15"/>
        <v>-1.6127808744929618E-3</v>
      </c>
      <c r="E1014" s="13">
        <f t="shared" si="15"/>
        <v>-1.1254660360669237E-2</v>
      </c>
      <c r="G1014" s="4"/>
    </row>
    <row r="1015" spans="1:7" x14ac:dyDescent="0.3">
      <c r="A1015" s="25">
        <v>44617</v>
      </c>
      <c r="B1015" s="13">
        <v>1618.7</v>
      </c>
      <c r="C1015" s="13">
        <f>VLOOKUP(A:A,'Nifty 50 '!$A:$B,2,0)</f>
        <v>16658.400000000001</v>
      </c>
      <c r="D1015" s="13">
        <f t="shared" si="15"/>
        <v>1.5782623848743998E-2</v>
      </c>
      <c r="E1015" s="13">
        <f t="shared" si="15"/>
        <v>8.101131524734604E-3</v>
      </c>
      <c r="G1015" s="4"/>
    </row>
    <row r="1016" spans="1:7" x14ac:dyDescent="0.3">
      <c r="A1016" s="25">
        <v>44616</v>
      </c>
      <c r="B1016" s="13">
        <v>1543.95</v>
      </c>
      <c r="C1016" s="13">
        <f>VLOOKUP(A:A,'Nifty 50 '!$A:$B,2,0)</f>
        <v>16247.95</v>
      </c>
      <c r="D1016" s="13">
        <f t="shared" si="15"/>
        <v>4.7279290299236755E-2</v>
      </c>
      <c r="E1016" s="13">
        <f t="shared" si="15"/>
        <v>2.4947846739819746E-2</v>
      </c>
      <c r="G1016" s="4"/>
    </row>
    <row r="1017" spans="1:7" x14ac:dyDescent="0.3">
      <c r="A1017" s="25">
        <v>44615</v>
      </c>
      <c r="B1017" s="13">
        <v>1688.7</v>
      </c>
      <c r="C1017" s="13">
        <f>VLOOKUP(A:A,'Nifty 50 '!$A:$B,2,0)</f>
        <v>17063.25</v>
      </c>
      <c r="D1017" s="13">
        <f t="shared" si="15"/>
        <v>-8.9614934497412507E-2</v>
      </c>
      <c r="E1017" s="13">
        <f t="shared" si="15"/>
        <v>-4.8960281051569063E-2</v>
      </c>
      <c r="G1017" s="4"/>
    </row>
    <row r="1018" spans="1:7" x14ac:dyDescent="0.3">
      <c r="A1018" s="25">
        <v>44614</v>
      </c>
      <c r="B1018" s="13">
        <v>1667.7</v>
      </c>
      <c r="C1018" s="13">
        <f>VLOOKUP(A:A,'Nifty 50 '!$A:$B,2,0)</f>
        <v>17092.2</v>
      </c>
      <c r="D1018" s="13">
        <f t="shared" si="15"/>
        <v>1.251357051055707E-2</v>
      </c>
      <c r="E1018" s="13">
        <f t="shared" si="15"/>
        <v>-1.6951910709848976E-3</v>
      </c>
      <c r="G1018" s="4"/>
    </row>
    <row r="1019" spans="1:7" x14ac:dyDescent="0.3">
      <c r="A1019" s="25">
        <v>44613</v>
      </c>
      <c r="B1019" s="13">
        <v>1685.2</v>
      </c>
      <c r="C1019" s="13">
        <f>VLOOKUP(A:A,'Nifty 50 '!$A:$B,2,0)</f>
        <v>17206.650000000001</v>
      </c>
      <c r="D1019" s="13">
        <f t="shared" si="15"/>
        <v>-1.0438819477327988E-2</v>
      </c>
      <c r="E1019" s="13">
        <f t="shared" si="15"/>
        <v>-6.6737179109929989E-3</v>
      </c>
      <c r="G1019" s="4"/>
    </row>
    <row r="1020" spans="1:7" x14ac:dyDescent="0.3">
      <c r="A1020" s="25">
        <v>44610</v>
      </c>
      <c r="B1020" s="13">
        <v>1736.3</v>
      </c>
      <c r="C1020" s="13">
        <f>VLOOKUP(A:A,'Nifty 50 '!$A:$B,2,0)</f>
        <v>17276.3</v>
      </c>
      <c r="D1020" s="13">
        <f t="shared" si="15"/>
        <v>-2.9872161245230622E-2</v>
      </c>
      <c r="E1020" s="13">
        <f t="shared" si="15"/>
        <v>-4.0396830734258891E-3</v>
      </c>
      <c r="G1020" s="4"/>
    </row>
    <row r="1021" spans="1:7" x14ac:dyDescent="0.3">
      <c r="A1021" s="25">
        <v>44609</v>
      </c>
      <c r="B1021" s="13">
        <v>1730.95</v>
      </c>
      <c r="C1021" s="13">
        <f>VLOOKUP(A:A,'Nifty 50 '!$A:$B,2,0)</f>
        <v>17304.599999999999</v>
      </c>
      <c r="D1021" s="13">
        <f t="shared" si="15"/>
        <v>3.086021628614198E-3</v>
      </c>
      <c r="E1021" s="13">
        <f t="shared" si="15"/>
        <v>-1.6367420349265715E-3</v>
      </c>
      <c r="G1021" s="4"/>
    </row>
    <row r="1022" spans="1:7" x14ac:dyDescent="0.3">
      <c r="A1022" s="25">
        <v>44608</v>
      </c>
      <c r="B1022" s="13">
        <v>1738.1</v>
      </c>
      <c r="C1022" s="13">
        <f>VLOOKUP(A:A,'Nifty 50 '!$A:$B,2,0)</f>
        <v>17322.2</v>
      </c>
      <c r="D1022" s="13">
        <f t="shared" si="15"/>
        <v>-4.1221718479561853E-3</v>
      </c>
      <c r="E1022" s="13">
        <f t="shared" si="15"/>
        <v>-1.0165537396252585E-3</v>
      </c>
      <c r="G1022" s="4"/>
    </row>
    <row r="1023" spans="1:7" x14ac:dyDescent="0.3">
      <c r="A1023" s="25">
        <v>44607</v>
      </c>
      <c r="B1023" s="13">
        <v>1744.25</v>
      </c>
      <c r="C1023" s="13">
        <f>VLOOKUP(A:A,'Nifty 50 '!$A:$B,2,0)</f>
        <v>17352.45</v>
      </c>
      <c r="D1023" s="13">
        <f t="shared" si="15"/>
        <v>-3.5321012499117985E-3</v>
      </c>
      <c r="E1023" s="13">
        <f t="shared" si="15"/>
        <v>-1.7447909452098886E-3</v>
      </c>
      <c r="G1023" s="4"/>
    </row>
    <row r="1024" spans="1:7" x14ac:dyDescent="0.3">
      <c r="A1024" s="25">
        <v>44606</v>
      </c>
      <c r="B1024" s="13">
        <v>1663.95</v>
      </c>
      <c r="C1024" s="13">
        <f>VLOOKUP(A:A,'Nifty 50 '!$A:$B,2,0)</f>
        <v>16842.8</v>
      </c>
      <c r="D1024" s="13">
        <f t="shared" si="15"/>
        <v>4.7130369966567526E-2</v>
      </c>
      <c r="E1024" s="13">
        <f t="shared" si="15"/>
        <v>2.9810441021687707E-2</v>
      </c>
      <c r="G1024" s="4"/>
    </row>
    <row r="1025" spans="1:7" x14ac:dyDescent="0.3">
      <c r="A1025" s="25">
        <v>44603</v>
      </c>
      <c r="B1025" s="13">
        <v>1764.3</v>
      </c>
      <c r="C1025" s="13">
        <f>VLOOKUP(A:A,'Nifty 50 '!$A:$B,2,0)</f>
        <v>17374.75</v>
      </c>
      <c r="D1025" s="13">
        <f t="shared" si="15"/>
        <v>-5.855971728124159E-2</v>
      </c>
      <c r="E1025" s="13">
        <f t="shared" si="15"/>
        <v>-3.1094737081558063E-2</v>
      </c>
      <c r="G1025" s="4"/>
    </row>
    <row r="1026" spans="1:7" x14ac:dyDescent="0.3">
      <c r="A1026" s="25">
        <v>44602</v>
      </c>
      <c r="B1026" s="13">
        <v>1786.1</v>
      </c>
      <c r="C1026" s="13">
        <f>VLOOKUP(A:A,'Nifty 50 '!$A:$B,2,0)</f>
        <v>17605.849999999999</v>
      </c>
      <c r="D1026" s="13">
        <f t="shared" si="15"/>
        <v>-1.2280460776417862E-2</v>
      </c>
      <c r="E1026" s="13">
        <f t="shared" si="15"/>
        <v>-1.3213230321500876E-2</v>
      </c>
      <c r="G1026" s="4"/>
    </row>
    <row r="1027" spans="1:7" x14ac:dyDescent="0.3">
      <c r="A1027" s="25">
        <v>44601</v>
      </c>
      <c r="B1027" s="13">
        <v>1783.15</v>
      </c>
      <c r="C1027" s="13">
        <f>VLOOKUP(A:A,'Nifty 50 '!$A:$B,2,0)</f>
        <v>17463.8</v>
      </c>
      <c r="D1027" s="13">
        <f t="shared" si="15"/>
        <v>1.6530087114795891E-3</v>
      </c>
      <c r="E1027" s="13">
        <f t="shared" si="15"/>
        <v>8.1010661276622389E-3</v>
      </c>
      <c r="G1027" s="4"/>
    </row>
    <row r="1028" spans="1:7" x14ac:dyDescent="0.3">
      <c r="A1028" s="25">
        <v>44600</v>
      </c>
      <c r="B1028" s="13">
        <v>1716</v>
      </c>
      <c r="C1028" s="13">
        <f>VLOOKUP(A:A,'Nifty 50 '!$A:$B,2,0)</f>
        <v>17266.75</v>
      </c>
      <c r="D1028" s="13">
        <f t="shared" ref="D1028:E1091" si="16">LN(B1027/B1028)</f>
        <v>3.8385462151050716E-2</v>
      </c>
      <c r="E1028" s="13">
        <f t="shared" si="16"/>
        <v>1.1347480211462859E-2</v>
      </c>
      <c r="G1028" s="4"/>
    </row>
    <row r="1029" spans="1:7" x14ac:dyDescent="0.3">
      <c r="A1029" s="25">
        <v>44599</v>
      </c>
      <c r="B1029" s="13">
        <v>1731.8</v>
      </c>
      <c r="C1029" s="13">
        <f>VLOOKUP(A:A,'Nifty 50 '!$A:$B,2,0)</f>
        <v>17213.599999999999</v>
      </c>
      <c r="D1029" s="13">
        <f t="shared" si="16"/>
        <v>-9.1653289657932253E-3</v>
      </c>
      <c r="E1029" s="13">
        <f t="shared" si="16"/>
        <v>3.0829177834033228E-3</v>
      </c>
      <c r="G1029" s="4"/>
    </row>
    <row r="1030" spans="1:7" x14ac:dyDescent="0.3">
      <c r="A1030" s="25">
        <v>44596</v>
      </c>
      <c r="B1030" s="13">
        <v>1757.3</v>
      </c>
      <c r="C1030" s="13">
        <f>VLOOKUP(A:A,'Nifty 50 '!$A:$B,2,0)</f>
        <v>17516.3</v>
      </c>
      <c r="D1030" s="13">
        <f t="shared" si="16"/>
        <v>-1.4617210187099657E-2</v>
      </c>
      <c r="E1030" s="13">
        <f t="shared" si="16"/>
        <v>-1.7432106933369305E-2</v>
      </c>
      <c r="G1030" s="4"/>
    </row>
    <row r="1031" spans="1:7" x14ac:dyDescent="0.3">
      <c r="A1031" s="25">
        <v>44595</v>
      </c>
      <c r="B1031" s="13">
        <v>1751.85</v>
      </c>
      <c r="C1031" s="13">
        <f>VLOOKUP(A:A,'Nifty 50 '!$A:$B,2,0)</f>
        <v>17560.2</v>
      </c>
      <c r="D1031" s="13">
        <f t="shared" si="16"/>
        <v>3.1061678081164227E-3</v>
      </c>
      <c r="E1031" s="13">
        <f t="shared" si="16"/>
        <v>-2.5031016732770949E-3</v>
      </c>
      <c r="G1031" s="4"/>
    </row>
    <row r="1032" spans="1:7" x14ac:dyDescent="0.3">
      <c r="A1032" s="25">
        <v>44594</v>
      </c>
      <c r="B1032" s="13">
        <v>1779.35</v>
      </c>
      <c r="C1032" s="13">
        <f>VLOOKUP(A:A,'Nifty 50 '!$A:$B,2,0)</f>
        <v>17780</v>
      </c>
      <c r="D1032" s="13">
        <f t="shared" si="16"/>
        <v>-1.557575666385385E-2</v>
      </c>
      <c r="E1032" s="13">
        <f t="shared" si="16"/>
        <v>-1.2439252422007897E-2</v>
      </c>
      <c r="G1032" s="4"/>
    </row>
    <row r="1033" spans="1:7" x14ac:dyDescent="0.3">
      <c r="A1033" s="25">
        <v>44593</v>
      </c>
      <c r="B1033" s="13">
        <v>1746.9</v>
      </c>
      <c r="C1033" s="13">
        <f>VLOOKUP(A:A,'Nifty 50 '!$A:$B,2,0)</f>
        <v>17576.849999999999</v>
      </c>
      <c r="D1033" s="13">
        <f t="shared" si="16"/>
        <v>1.8405340545353827E-2</v>
      </c>
      <c r="E1033" s="13">
        <f t="shared" si="16"/>
        <v>1.1491534770912802E-2</v>
      </c>
      <c r="G1033" s="4"/>
    </row>
    <row r="1034" spans="1:7" x14ac:dyDescent="0.3">
      <c r="A1034" s="25">
        <v>44592</v>
      </c>
      <c r="B1034" s="13">
        <v>1714.95</v>
      </c>
      <c r="C1034" s="13">
        <f>VLOOKUP(A:A,'Nifty 50 '!$A:$B,2,0)</f>
        <v>17339.849999999999</v>
      </c>
      <c r="D1034" s="13">
        <f t="shared" si="16"/>
        <v>1.8458862855095355E-2</v>
      </c>
      <c r="E1034" s="13">
        <f t="shared" si="16"/>
        <v>1.3575374518897244E-2</v>
      </c>
      <c r="G1034" s="4"/>
    </row>
    <row r="1035" spans="1:7" x14ac:dyDescent="0.3">
      <c r="A1035" s="25">
        <v>44589</v>
      </c>
      <c r="B1035" s="13">
        <v>1693.7</v>
      </c>
      <c r="C1035" s="13">
        <f>VLOOKUP(A:A,'Nifty 50 '!$A:$B,2,0)</f>
        <v>17101.95</v>
      </c>
      <c r="D1035" s="13">
        <f t="shared" si="16"/>
        <v>1.2468440759012954E-2</v>
      </c>
      <c r="E1035" s="13">
        <f t="shared" si="16"/>
        <v>1.3814828701121379E-2</v>
      </c>
      <c r="G1035" s="4"/>
    </row>
    <row r="1036" spans="1:7" x14ac:dyDescent="0.3">
      <c r="A1036" s="25">
        <v>44588</v>
      </c>
      <c r="B1036" s="13">
        <v>1686</v>
      </c>
      <c r="C1036" s="13">
        <f>VLOOKUP(A:A,'Nifty 50 '!$A:$B,2,0)</f>
        <v>17110.150000000001</v>
      </c>
      <c r="D1036" s="13">
        <f t="shared" si="16"/>
        <v>4.5566253352748243E-3</v>
      </c>
      <c r="E1036" s="13">
        <f t="shared" si="16"/>
        <v>-4.7936257388604811E-4</v>
      </c>
      <c r="G1036" s="4"/>
    </row>
    <row r="1037" spans="1:7" x14ac:dyDescent="0.3">
      <c r="A1037" s="25">
        <v>44586</v>
      </c>
      <c r="B1037" s="13">
        <v>1741.4</v>
      </c>
      <c r="C1037" s="13">
        <f>VLOOKUP(A:A,'Nifty 50 '!$A:$B,2,0)</f>
        <v>17277.95</v>
      </c>
      <c r="D1037" s="13">
        <f t="shared" si="16"/>
        <v>-3.2330527832714451E-2</v>
      </c>
      <c r="E1037" s="13">
        <f t="shared" si="16"/>
        <v>-9.7592674103367961E-3</v>
      </c>
      <c r="G1037" s="4"/>
    </row>
    <row r="1038" spans="1:7" x14ac:dyDescent="0.3">
      <c r="A1038" s="25">
        <v>44585</v>
      </c>
      <c r="B1038" s="13">
        <v>1715.8</v>
      </c>
      <c r="C1038" s="13">
        <f>VLOOKUP(A:A,'Nifty 50 '!$A:$B,2,0)</f>
        <v>17149.099999999999</v>
      </c>
      <c r="D1038" s="13">
        <f t="shared" si="16"/>
        <v>1.4809943255650488E-2</v>
      </c>
      <c r="E1038" s="13">
        <f t="shared" si="16"/>
        <v>7.4854279782373646E-3</v>
      </c>
      <c r="G1038" s="4"/>
    </row>
    <row r="1039" spans="1:7" x14ac:dyDescent="0.3">
      <c r="A1039" s="25">
        <v>44582</v>
      </c>
      <c r="B1039" s="13">
        <v>1828.35</v>
      </c>
      <c r="C1039" s="13">
        <f>VLOOKUP(A:A,'Nifty 50 '!$A:$B,2,0)</f>
        <v>17617.150000000001</v>
      </c>
      <c r="D1039" s="13">
        <f t="shared" si="16"/>
        <v>-6.3534476631090228E-2</v>
      </c>
      <c r="E1039" s="13">
        <f t="shared" si="16"/>
        <v>-2.6927165310979384E-2</v>
      </c>
      <c r="G1039" s="4"/>
    </row>
    <row r="1040" spans="1:7" x14ac:dyDescent="0.3">
      <c r="A1040" s="25">
        <v>44581</v>
      </c>
      <c r="B1040" s="13">
        <v>1865.85</v>
      </c>
      <c r="C1040" s="13">
        <f>VLOOKUP(A:A,'Nifty 50 '!$A:$B,2,0)</f>
        <v>17757</v>
      </c>
      <c r="D1040" s="13">
        <f t="shared" si="16"/>
        <v>-2.030279255412825E-2</v>
      </c>
      <c r="E1040" s="13">
        <f t="shared" si="16"/>
        <v>-7.9069449649056857E-3</v>
      </c>
      <c r="G1040" s="4"/>
    </row>
    <row r="1041" spans="1:7" x14ac:dyDescent="0.3">
      <c r="A1041" s="25">
        <v>44580</v>
      </c>
      <c r="B1041" s="13">
        <v>1849.3</v>
      </c>
      <c r="C1041" s="13">
        <f>VLOOKUP(A:A,'Nifty 50 '!$A:$B,2,0)</f>
        <v>17938.400000000001</v>
      </c>
      <c r="D1041" s="13">
        <f t="shared" si="16"/>
        <v>8.9095242332523517E-3</v>
      </c>
      <c r="E1041" s="13">
        <f t="shared" si="16"/>
        <v>-1.0163862100486327E-2</v>
      </c>
      <c r="G1041" s="4"/>
    </row>
    <row r="1042" spans="1:7" x14ac:dyDescent="0.3">
      <c r="A1042" s="25">
        <v>44579</v>
      </c>
      <c r="B1042" s="13">
        <v>1840.95</v>
      </c>
      <c r="C1042" s="13">
        <f>VLOOKUP(A:A,'Nifty 50 '!$A:$B,2,0)</f>
        <v>18113.05</v>
      </c>
      <c r="D1042" s="13">
        <f t="shared" si="16"/>
        <v>4.5254463792039241E-3</v>
      </c>
      <c r="E1042" s="13">
        <f t="shared" si="16"/>
        <v>-9.6890064780822838E-3</v>
      </c>
      <c r="G1042" s="4"/>
    </row>
    <row r="1043" spans="1:7" x14ac:dyDescent="0.3">
      <c r="A1043" s="25">
        <v>44578</v>
      </c>
      <c r="B1043" s="13">
        <v>1877.8</v>
      </c>
      <c r="C1043" s="13">
        <f>VLOOKUP(A:A,'Nifty 50 '!$A:$B,2,0)</f>
        <v>18308.099999999999</v>
      </c>
      <c r="D1043" s="13">
        <f t="shared" si="16"/>
        <v>-1.9819136112820022E-2</v>
      </c>
      <c r="E1043" s="13">
        <f t="shared" si="16"/>
        <v>-1.0710911914286183E-2</v>
      </c>
      <c r="G1043" s="4"/>
    </row>
    <row r="1044" spans="1:7" x14ac:dyDescent="0.3">
      <c r="A1044" s="25">
        <v>44575</v>
      </c>
      <c r="B1044" s="13">
        <v>1870.25</v>
      </c>
      <c r="C1044" s="13">
        <f>VLOOKUP(A:A,'Nifty 50 '!$A:$B,2,0)</f>
        <v>18255.75</v>
      </c>
      <c r="D1044" s="13">
        <f t="shared" si="16"/>
        <v>4.0287670719327809E-3</v>
      </c>
      <c r="E1044" s="13">
        <f t="shared" si="16"/>
        <v>2.8634859715560308E-3</v>
      </c>
      <c r="G1044" s="4"/>
    </row>
    <row r="1045" spans="1:7" x14ac:dyDescent="0.3">
      <c r="A1045" s="25">
        <v>44574</v>
      </c>
      <c r="B1045" s="13">
        <v>1853.35</v>
      </c>
      <c r="C1045" s="13">
        <f>VLOOKUP(A:A,'Nifty 50 '!$A:$B,2,0)</f>
        <v>18257.8</v>
      </c>
      <c r="D1045" s="13">
        <f t="shared" si="16"/>
        <v>9.0772994106755357E-3</v>
      </c>
      <c r="E1045" s="13">
        <f t="shared" si="16"/>
        <v>-1.1228708258463262E-4</v>
      </c>
      <c r="G1045" s="4"/>
    </row>
    <row r="1046" spans="1:7" x14ac:dyDescent="0.3">
      <c r="A1046" s="25">
        <v>44573</v>
      </c>
      <c r="B1046" s="13">
        <v>1830.1</v>
      </c>
      <c r="C1046" s="13">
        <f>VLOOKUP(A:A,'Nifty 50 '!$A:$B,2,0)</f>
        <v>18212.349999999999</v>
      </c>
      <c r="D1046" s="13">
        <f t="shared" si="16"/>
        <v>1.2624202190602188E-2</v>
      </c>
      <c r="E1046" s="13">
        <f t="shared" si="16"/>
        <v>2.4924505947533245E-3</v>
      </c>
      <c r="G1046" s="4"/>
    </row>
    <row r="1047" spans="1:7" x14ac:dyDescent="0.3">
      <c r="A1047" s="25">
        <v>44572</v>
      </c>
      <c r="B1047" s="13">
        <v>1843.9</v>
      </c>
      <c r="C1047" s="13">
        <f>VLOOKUP(A:A,'Nifty 50 '!$A:$B,2,0)</f>
        <v>18055.75</v>
      </c>
      <c r="D1047" s="13">
        <f t="shared" si="16"/>
        <v>-7.5122835598824319E-3</v>
      </c>
      <c r="E1047" s="13">
        <f t="shared" si="16"/>
        <v>8.6357417794735106E-3</v>
      </c>
      <c r="G1047" s="4"/>
    </row>
    <row r="1048" spans="1:7" x14ac:dyDescent="0.3">
      <c r="A1048" s="25">
        <v>44571</v>
      </c>
      <c r="B1048" s="13">
        <v>1752.6</v>
      </c>
      <c r="C1048" s="13">
        <f>VLOOKUP(A:A,'Nifty 50 '!$A:$B,2,0)</f>
        <v>18003.3</v>
      </c>
      <c r="D1048" s="13">
        <f t="shared" si="16"/>
        <v>5.078249408936885E-2</v>
      </c>
      <c r="E1048" s="13">
        <f t="shared" si="16"/>
        <v>2.9091191803581893E-3</v>
      </c>
      <c r="G1048" s="4"/>
    </row>
    <row r="1049" spans="1:7" x14ac:dyDescent="0.3">
      <c r="A1049" s="25">
        <v>44568</v>
      </c>
      <c r="B1049" s="13">
        <v>1699.1</v>
      </c>
      <c r="C1049" s="13">
        <f>VLOOKUP(A:A,'Nifty 50 '!$A:$B,2,0)</f>
        <v>17812.7</v>
      </c>
      <c r="D1049" s="13">
        <f t="shared" si="16"/>
        <v>3.1001700530037198E-2</v>
      </c>
      <c r="E1049" s="13">
        <f t="shared" si="16"/>
        <v>1.064338838998579E-2</v>
      </c>
      <c r="G1049" s="4"/>
    </row>
    <row r="1050" spans="1:7" x14ac:dyDescent="0.3">
      <c r="A1050" s="25">
        <v>44567</v>
      </c>
      <c r="B1050" s="13">
        <v>1713.1</v>
      </c>
      <c r="C1050" s="13">
        <f>VLOOKUP(A:A,'Nifty 50 '!$A:$B,2,0)</f>
        <v>17745.900000000001</v>
      </c>
      <c r="D1050" s="13">
        <f t="shared" si="16"/>
        <v>-8.2058956446998503E-3</v>
      </c>
      <c r="E1050" s="13">
        <f t="shared" si="16"/>
        <v>3.7571827114337929E-3</v>
      </c>
      <c r="G1050" s="4"/>
    </row>
    <row r="1051" spans="1:7" x14ac:dyDescent="0.3">
      <c r="A1051" s="25">
        <v>44566</v>
      </c>
      <c r="B1051" s="13">
        <v>1715.45</v>
      </c>
      <c r="C1051" s="13">
        <f>VLOOKUP(A:A,'Nifty 50 '!$A:$B,2,0)</f>
        <v>17925.25</v>
      </c>
      <c r="D1051" s="13">
        <f t="shared" si="16"/>
        <v>-1.3708421157700048E-3</v>
      </c>
      <c r="E1051" s="13">
        <f t="shared" si="16"/>
        <v>-1.0055830065243644E-2</v>
      </c>
      <c r="G1051" s="4"/>
    </row>
    <row r="1052" spans="1:7" x14ac:dyDescent="0.3">
      <c r="A1052" s="25">
        <v>44565</v>
      </c>
      <c r="B1052" s="13">
        <v>1719</v>
      </c>
      <c r="C1052" s="13">
        <f>VLOOKUP(A:A,'Nifty 50 '!$A:$B,2,0)</f>
        <v>17805.25</v>
      </c>
      <c r="D1052" s="13">
        <f t="shared" si="16"/>
        <v>-2.0672895306664586E-3</v>
      </c>
      <c r="E1052" s="13">
        <f t="shared" si="16"/>
        <v>6.7169757589339947E-3</v>
      </c>
      <c r="G1052" s="4"/>
    </row>
    <row r="1053" spans="1:7" x14ac:dyDescent="0.3">
      <c r="A1053" s="25">
        <v>44564</v>
      </c>
      <c r="B1053" s="13">
        <v>1717.15</v>
      </c>
      <c r="C1053" s="13">
        <f>VLOOKUP(A:A,'Nifty 50 '!$A:$B,2,0)</f>
        <v>17625.7</v>
      </c>
      <c r="D1053" s="13">
        <f t="shared" si="16"/>
        <v>1.0767866238385749E-3</v>
      </c>
      <c r="E1053" s="13">
        <f t="shared" si="16"/>
        <v>1.0135293409169081E-2</v>
      </c>
      <c r="G1053" s="4"/>
    </row>
    <row r="1054" spans="1:7" x14ac:dyDescent="0.3">
      <c r="A1054" s="25">
        <v>44561</v>
      </c>
      <c r="B1054" s="13">
        <v>1709.45</v>
      </c>
      <c r="C1054" s="13">
        <f>VLOOKUP(A:A,'Nifty 50 '!$A:$B,2,0)</f>
        <v>17354.05</v>
      </c>
      <c r="D1054" s="13">
        <f t="shared" si="16"/>
        <v>4.4942584256167451E-3</v>
      </c>
      <c r="E1054" s="13">
        <f t="shared" si="16"/>
        <v>1.5532155674438485E-2</v>
      </c>
      <c r="G1054" s="4"/>
    </row>
    <row r="1055" spans="1:7" x14ac:dyDescent="0.3">
      <c r="A1055" s="25">
        <v>44560</v>
      </c>
      <c r="B1055" s="13">
        <v>1696.4</v>
      </c>
      <c r="C1055" s="13">
        <f>VLOOKUP(A:A,'Nifty 50 '!$A:$B,2,0)</f>
        <v>17203.95</v>
      </c>
      <c r="D1055" s="13">
        <f t="shared" si="16"/>
        <v>7.6633227329582438E-3</v>
      </c>
      <c r="E1055" s="13">
        <f t="shared" si="16"/>
        <v>8.686899930872365E-3</v>
      </c>
      <c r="G1055" s="4"/>
    </row>
    <row r="1056" spans="1:7" x14ac:dyDescent="0.3">
      <c r="A1056" s="25">
        <v>44559</v>
      </c>
      <c r="B1056" s="13">
        <v>1718.05</v>
      </c>
      <c r="C1056" s="13">
        <f>VLOOKUP(A:A,'Nifty 50 '!$A:$B,2,0)</f>
        <v>17213.599999999999</v>
      </c>
      <c r="D1056" s="13">
        <f t="shared" si="16"/>
        <v>-1.2681568129110659E-2</v>
      </c>
      <c r="E1056" s="13">
        <f t="shared" si="16"/>
        <v>-5.6076044069777991E-4</v>
      </c>
      <c r="G1056" s="4"/>
    </row>
    <row r="1057" spans="1:7" x14ac:dyDescent="0.3">
      <c r="A1057" s="25">
        <v>44558</v>
      </c>
      <c r="B1057" s="13">
        <v>1751</v>
      </c>
      <c r="C1057" s="13">
        <f>VLOOKUP(A:A,'Nifty 50 '!$A:$B,2,0)</f>
        <v>17233.25</v>
      </c>
      <c r="D1057" s="13">
        <f t="shared" si="16"/>
        <v>-1.8997126556305463E-2</v>
      </c>
      <c r="E1057" s="13">
        <f t="shared" si="16"/>
        <v>-1.1408881875360657E-3</v>
      </c>
      <c r="G1057" s="4"/>
    </row>
    <row r="1058" spans="1:7" x14ac:dyDescent="0.3">
      <c r="A1058" s="25">
        <v>44557</v>
      </c>
      <c r="B1058" s="13">
        <v>1730.2</v>
      </c>
      <c r="C1058" s="13">
        <f>VLOOKUP(A:A,'Nifty 50 '!$A:$B,2,0)</f>
        <v>17086.25</v>
      </c>
      <c r="D1058" s="13">
        <f t="shared" si="16"/>
        <v>1.195004453957791E-2</v>
      </c>
      <c r="E1058" s="13">
        <f t="shared" si="16"/>
        <v>8.5666107599145849E-3</v>
      </c>
      <c r="G1058" s="4"/>
    </row>
    <row r="1059" spans="1:7" x14ac:dyDescent="0.3">
      <c r="A1059" s="25">
        <v>44554</v>
      </c>
      <c r="B1059" s="13">
        <v>1698.2</v>
      </c>
      <c r="C1059" s="13">
        <f>VLOOKUP(A:A,'Nifty 50 '!$A:$B,2,0)</f>
        <v>17003.75</v>
      </c>
      <c r="D1059" s="13">
        <f t="shared" si="16"/>
        <v>1.8668142181010927E-2</v>
      </c>
      <c r="E1059" s="13">
        <f t="shared" si="16"/>
        <v>4.8401385192229909E-3</v>
      </c>
      <c r="G1059" s="4"/>
    </row>
    <row r="1060" spans="1:7" x14ac:dyDescent="0.3">
      <c r="A1060" s="25">
        <v>44553</v>
      </c>
      <c r="B1060" s="13">
        <v>1676.2</v>
      </c>
      <c r="C1060" s="13">
        <f>VLOOKUP(A:A,'Nifty 50 '!$A:$B,2,0)</f>
        <v>17072.599999999999</v>
      </c>
      <c r="D1060" s="13">
        <f t="shared" si="16"/>
        <v>1.3039539900457356E-2</v>
      </c>
      <c r="E1060" s="13">
        <f t="shared" si="16"/>
        <v>-4.0409312434183352E-3</v>
      </c>
      <c r="G1060" s="4"/>
    </row>
    <row r="1061" spans="1:7" x14ac:dyDescent="0.3">
      <c r="A1061" s="25">
        <v>44552</v>
      </c>
      <c r="B1061" s="13">
        <v>1658.1</v>
      </c>
      <c r="C1061" s="13">
        <f>VLOOKUP(A:A,'Nifty 50 '!$A:$B,2,0)</f>
        <v>16955.45</v>
      </c>
      <c r="D1061" s="13">
        <f t="shared" si="16"/>
        <v>1.0856958157479038E-2</v>
      </c>
      <c r="E1061" s="13">
        <f t="shared" si="16"/>
        <v>6.885523140111989E-3</v>
      </c>
      <c r="G1061" s="4"/>
    </row>
    <row r="1062" spans="1:7" x14ac:dyDescent="0.3">
      <c r="A1062" s="25">
        <v>44551</v>
      </c>
      <c r="B1062" s="13">
        <v>1620.5</v>
      </c>
      <c r="C1062" s="13">
        <f>VLOOKUP(A:A,'Nifty 50 '!$A:$B,2,0)</f>
        <v>16770.849999999999</v>
      </c>
      <c r="D1062" s="13">
        <f t="shared" si="16"/>
        <v>2.29376249257249E-2</v>
      </c>
      <c r="E1062" s="13">
        <f t="shared" si="16"/>
        <v>1.0947055769810723E-2</v>
      </c>
      <c r="G1062" s="4"/>
    </row>
    <row r="1063" spans="1:7" x14ac:dyDescent="0.3">
      <c r="A1063" s="25">
        <v>44550</v>
      </c>
      <c r="B1063" s="13">
        <v>1589.95</v>
      </c>
      <c r="C1063" s="13">
        <f>VLOOKUP(A:A,'Nifty 50 '!$A:$B,2,0)</f>
        <v>16614.2</v>
      </c>
      <c r="D1063" s="13">
        <f t="shared" si="16"/>
        <v>1.9032174402658086E-2</v>
      </c>
      <c r="E1063" s="13">
        <f t="shared" si="16"/>
        <v>9.3845089143681712E-3</v>
      </c>
      <c r="G1063" s="4"/>
    </row>
    <row r="1064" spans="1:7" x14ac:dyDescent="0.3">
      <c r="A1064" s="25">
        <v>44547</v>
      </c>
      <c r="B1064" s="13">
        <v>1645.3</v>
      </c>
      <c r="C1064" s="13">
        <f>VLOOKUP(A:A,'Nifty 50 '!$A:$B,2,0)</f>
        <v>16985.2</v>
      </c>
      <c r="D1064" s="13">
        <f t="shared" si="16"/>
        <v>-3.4220169213660473E-2</v>
      </c>
      <c r="E1064" s="13">
        <f t="shared" si="16"/>
        <v>-2.208462525426377E-2</v>
      </c>
      <c r="G1064" s="4"/>
    </row>
    <row r="1065" spans="1:7" x14ac:dyDescent="0.3">
      <c r="A1065" s="25">
        <v>44546</v>
      </c>
      <c r="B1065" s="13">
        <v>1702.05</v>
      </c>
      <c r="C1065" s="13">
        <f>VLOOKUP(A:A,'Nifty 50 '!$A:$B,2,0)</f>
        <v>17248.400000000001</v>
      </c>
      <c r="D1065" s="13">
        <f t="shared" si="16"/>
        <v>-3.391066851250369E-2</v>
      </c>
      <c r="E1065" s="13">
        <f t="shared" si="16"/>
        <v>-1.5377008913403054E-2</v>
      </c>
      <c r="G1065" s="4"/>
    </row>
    <row r="1066" spans="1:7" x14ac:dyDescent="0.3">
      <c r="A1066" s="25">
        <v>44545</v>
      </c>
      <c r="B1066" s="13">
        <v>1695.3</v>
      </c>
      <c r="C1066" s="13">
        <f>VLOOKUP(A:A,'Nifty 50 '!$A:$B,2,0)</f>
        <v>17221.400000000001</v>
      </c>
      <c r="D1066" s="13">
        <f t="shared" si="16"/>
        <v>3.9736906012007925E-3</v>
      </c>
      <c r="E1066" s="13">
        <f t="shared" si="16"/>
        <v>1.5665890444361708E-3</v>
      </c>
      <c r="G1066" s="4"/>
    </row>
    <row r="1067" spans="1:7" x14ac:dyDescent="0.3">
      <c r="A1067" s="25">
        <v>44544</v>
      </c>
      <c r="B1067" s="13">
        <v>1720.1</v>
      </c>
      <c r="C1067" s="13">
        <f>VLOOKUP(A:A,'Nifty 50 '!$A:$B,2,0)</f>
        <v>17324.900000000001</v>
      </c>
      <c r="D1067" s="13">
        <f t="shared" si="16"/>
        <v>-1.4522712348437813E-2</v>
      </c>
      <c r="E1067" s="13">
        <f t="shared" si="16"/>
        <v>-5.9919765456759484E-3</v>
      </c>
      <c r="G1067" s="4"/>
    </row>
    <row r="1068" spans="1:7" x14ac:dyDescent="0.3">
      <c r="A1068" s="25">
        <v>44543</v>
      </c>
      <c r="B1068" s="13">
        <v>1719.55</v>
      </c>
      <c r="C1068" s="13">
        <f>VLOOKUP(A:A,'Nifty 50 '!$A:$B,2,0)</f>
        <v>17368.25</v>
      </c>
      <c r="D1068" s="13">
        <f t="shared" si="16"/>
        <v>3.1979998237457747E-4</v>
      </c>
      <c r="E1068" s="13">
        <f t="shared" si="16"/>
        <v>-2.4990537072034653E-3</v>
      </c>
      <c r="G1068" s="4"/>
    </row>
    <row r="1069" spans="1:7" x14ac:dyDescent="0.3">
      <c r="A1069" s="25">
        <v>44540</v>
      </c>
      <c r="B1069" s="13">
        <v>1740.4</v>
      </c>
      <c r="C1069" s="13">
        <f>VLOOKUP(A:A,'Nifty 50 '!$A:$B,2,0)</f>
        <v>17511.3</v>
      </c>
      <c r="D1069" s="13">
        <f t="shared" si="16"/>
        <v>-1.2052343176554542E-2</v>
      </c>
      <c r="E1069" s="13">
        <f t="shared" si="16"/>
        <v>-8.2025600706723129E-3</v>
      </c>
      <c r="G1069" s="4"/>
    </row>
    <row r="1070" spans="1:7" x14ac:dyDescent="0.3">
      <c r="A1070" s="25">
        <v>44539</v>
      </c>
      <c r="B1070" s="13">
        <v>1722.25</v>
      </c>
      <c r="C1070" s="13">
        <f>VLOOKUP(A:A,'Nifty 50 '!$A:$B,2,0)</f>
        <v>17516.849999999999</v>
      </c>
      <c r="D1070" s="13">
        <f t="shared" si="16"/>
        <v>1.0483396373219767E-2</v>
      </c>
      <c r="E1070" s="13">
        <f t="shared" si="16"/>
        <v>-3.1688799131232727E-4</v>
      </c>
      <c r="G1070" s="4"/>
    </row>
    <row r="1071" spans="1:7" x14ac:dyDescent="0.3">
      <c r="A1071" s="25">
        <v>44538</v>
      </c>
      <c r="B1071" s="13">
        <v>1715.5</v>
      </c>
      <c r="C1071" s="13">
        <f>VLOOKUP(A:A,'Nifty 50 '!$A:$B,2,0)</f>
        <v>17469.75</v>
      </c>
      <c r="D1071" s="13">
        <f t="shared" si="16"/>
        <v>3.9269921748008325E-3</v>
      </c>
      <c r="E1071" s="13">
        <f t="shared" si="16"/>
        <v>2.6924610252884998E-3</v>
      </c>
      <c r="G1071" s="4"/>
    </row>
    <row r="1072" spans="1:7" x14ac:dyDescent="0.3">
      <c r="A1072" s="25">
        <v>44537</v>
      </c>
      <c r="B1072" s="13">
        <v>1678.45</v>
      </c>
      <c r="C1072" s="13">
        <f>VLOOKUP(A:A,'Nifty 50 '!$A:$B,2,0)</f>
        <v>17176.7</v>
      </c>
      <c r="D1072" s="13">
        <f t="shared" si="16"/>
        <v>2.1833834823739445E-2</v>
      </c>
      <c r="E1072" s="13">
        <f t="shared" si="16"/>
        <v>1.6916999510179991E-2</v>
      </c>
      <c r="G1072" s="4"/>
    </row>
    <row r="1073" spans="1:7" x14ac:dyDescent="0.3">
      <c r="A1073" s="25">
        <v>44536</v>
      </c>
      <c r="B1073" s="13">
        <v>1645.6</v>
      </c>
      <c r="C1073" s="13">
        <f>VLOOKUP(A:A,'Nifty 50 '!$A:$B,2,0)</f>
        <v>16912.25</v>
      </c>
      <c r="D1073" s="13">
        <f t="shared" si="16"/>
        <v>1.9765689136017599E-2</v>
      </c>
      <c r="E1073" s="13">
        <f t="shared" si="16"/>
        <v>1.5515602865605863E-2</v>
      </c>
      <c r="G1073" s="4"/>
    </row>
    <row r="1074" spans="1:7" x14ac:dyDescent="0.3">
      <c r="A1074" s="25">
        <v>44533</v>
      </c>
      <c r="B1074" s="13">
        <v>1708.1</v>
      </c>
      <c r="C1074" s="13">
        <f>VLOOKUP(A:A,'Nifty 50 '!$A:$B,2,0)</f>
        <v>17196.7</v>
      </c>
      <c r="D1074" s="13">
        <f t="shared" si="16"/>
        <v>-3.7276582305267585E-2</v>
      </c>
      <c r="E1074" s="13">
        <f t="shared" si="16"/>
        <v>-1.6679293525066932E-2</v>
      </c>
      <c r="G1074" s="4"/>
    </row>
    <row r="1075" spans="1:7" x14ac:dyDescent="0.3">
      <c r="A1075" s="25">
        <v>44532</v>
      </c>
      <c r="B1075" s="13">
        <v>1732.25</v>
      </c>
      <c r="C1075" s="13">
        <f>VLOOKUP(A:A,'Nifty 50 '!$A:$B,2,0)</f>
        <v>17401.650000000001</v>
      </c>
      <c r="D1075" s="13">
        <f t="shared" si="16"/>
        <v>-1.4039499863475642E-2</v>
      </c>
      <c r="E1075" s="13">
        <f t="shared" si="16"/>
        <v>-1.1847524364121427E-2</v>
      </c>
      <c r="G1075" s="4"/>
    </row>
    <row r="1076" spans="1:7" x14ac:dyDescent="0.3">
      <c r="A1076" s="25">
        <v>44531</v>
      </c>
      <c r="B1076" s="13">
        <v>1693.3</v>
      </c>
      <c r="C1076" s="13">
        <f>VLOOKUP(A:A,'Nifty 50 '!$A:$B,2,0)</f>
        <v>17166.900000000001</v>
      </c>
      <c r="D1076" s="13">
        <f t="shared" si="16"/>
        <v>2.2741853836195907E-2</v>
      </c>
      <c r="E1076" s="13">
        <f t="shared" si="16"/>
        <v>1.358191816862196E-2</v>
      </c>
      <c r="G1076" s="4"/>
    </row>
    <row r="1077" spans="1:7" x14ac:dyDescent="0.3">
      <c r="A1077" s="25">
        <v>44530</v>
      </c>
      <c r="B1077" s="13">
        <v>1662.85</v>
      </c>
      <c r="C1077" s="13">
        <f>VLOOKUP(A:A,'Nifty 50 '!$A:$B,2,0)</f>
        <v>16983.2</v>
      </c>
      <c r="D1077" s="13">
        <f t="shared" si="16"/>
        <v>1.8146289983051178E-2</v>
      </c>
      <c r="E1077" s="13">
        <f t="shared" si="16"/>
        <v>1.0758491006561958E-2</v>
      </c>
      <c r="G1077" s="4"/>
    </row>
    <row r="1078" spans="1:7" x14ac:dyDescent="0.3">
      <c r="A1078" s="25">
        <v>44529</v>
      </c>
      <c r="B1078" s="13">
        <v>1665.05</v>
      </c>
      <c r="C1078" s="13">
        <f>VLOOKUP(A:A,'Nifty 50 '!$A:$B,2,0)</f>
        <v>17053.95</v>
      </c>
      <c r="D1078" s="13">
        <f t="shared" si="16"/>
        <v>-1.3221553054382669E-3</v>
      </c>
      <c r="E1078" s="13">
        <f t="shared" si="16"/>
        <v>-4.1572283164124264E-3</v>
      </c>
      <c r="G1078" s="4"/>
    </row>
    <row r="1079" spans="1:7" x14ac:dyDescent="0.3">
      <c r="A1079" s="25">
        <v>44526</v>
      </c>
      <c r="B1079" s="13">
        <v>1669.55</v>
      </c>
      <c r="C1079" s="13">
        <f>VLOOKUP(A:A,'Nifty 50 '!$A:$B,2,0)</f>
        <v>17026.45</v>
      </c>
      <c r="D1079" s="13">
        <f t="shared" si="16"/>
        <v>-2.6989760281152238E-3</v>
      </c>
      <c r="E1079" s="13">
        <f t="shared" si="16"/>
        <v>1.6138311738437181E-3</v>
      </c>
      <c r="G1079" s="4"/>
    </row>
    <row r="1080" spans="1:7" x14ac:dyDescent="0.3">
      <c r="A1080" s="25">
        <v>44525</v>
      </c>
      <c r="B1080" s="13">
        <v>1763.05</v>
      </c>
      <c r="C1080" s="13">
        <f>VLOOKUP(A:A,'Nifty 50 '!$A:$B,2,0)</f>
        <v>17536.25</v>
      </c>
      <c r="D1080" s="13">
        <f t="shared" si="16"/>
        <v>-5.4491134722638432E-2</v>
      </c>
      <c r="E1080" s="13">
        <f t="shared" si="16"/>
        <v>-2.9502149772621358E-2</v>
      </c>
      <c r="G1080" s="4"/>
    </row>
    <row r="1081" spans="1:7" x14ac:dyDescent="0.3">
      <c r="A1081" s="25">
        <v>44524</v>
      </c>
      <c r="B1081" s="13">
        <v>1755.15</v>
      </c>
      <c r="C1081" s="13">
        <f>VLOOKUP(A:A,'Nifty 50 '!$A:$B,2,0)</f>
        <v>17415.05</v>
      </c>
      <c r="D1081" s="13">
        <f t="shared" si="16"/>
        <v>4.4909404113589206E-3</v>
      </c>
      <c r="E1081" s="13">
        <f t="shared" si="16"/>
        <v>6.9353921488597555E-3</v>
      </c>
      <c r="G1081" s="4"/>
    </row>
    <row r="1082" spans="1:7" x14ac:dyDescent="0.3">
      <c r="A1082" s="25">
        <v>44523</v>
      </c>
      <c r="B1082" s="13">
        <v>1707.95</v>
      </c>
      <c r="C1082" s="13">
        <f>VLOOKUP(A:A,'Nifty 50 '!$A:$B,2,0)</f>
        <v>17503.349999999999</v>
      </c>
      <c r="D1082" s="13">
        <f t="shared" si="16"/>
        <v>2.7260502417737371E-2</v>
      </c>
      <c r="E1082" s="13">
        <f t="shared" si="16"/>
        <v>-5.0575162788005449E-3</v>
      </c>
      <c r="G1082" s="4"/>
    </row>
    <row r="1083" spans="1:7" x14ac:dyDescent="0.3">
      <c r="A1083" s="25">
        <v>44522</v>
      </c>
      <c r="B1083" s="13">
        <v>1675.75</v>
      </c>
      <c r="C1083" s="13">
        <f>VLOOKUP(A:A,'Nifty 50 '!$A:$B,2,0)</f>
        <v>17416.55</v>
      </c>
      <c r="D1083" s="13">
        <f t="shared" si="16"/>
        <v>1.9032994677272295E-2</v>
      </c>
      <c r="E1083" s="13">
        <f t="shared" si="16"/>
        <v>4.9713875910040546E-3</v>
      </c>
      <c r="G1083" s="4"/>
    </row>
    <row r="1084" spans="1:7" x14ac:dyDescent="0.3">
      <c r="A1084" s="25">
        <v>44518</v>
      </c>
      <c r="B1084" s="13">
        <v>1688.75</v>
      </c>
      <c r="C1084" s="13">
        <f>VLOOKUP(A:A,'Nifty 50 '!$A:$B,2,0)</f>
        <v>17764.8</v>
      </c>
      <c r="D1084" s="13">
        <f t="shared" si="16"/>
        <v>-7.7277840363415527E-3</v>
      </c>
      <c r="E1084" s="13">
        <f t="shared" si="16"/>
        <v>-1.9798067728082253E-2</v>
      </c>
      <c r="G1084" s="4"/>
    </row>
    <row r="1085" spans="1:7" x14ac:dyDescent="0.3">
      <c r="A1085" s="25">
        <v>44517</v>
      </c>
      <c r="B1085" s="13">
        <v>1706.45</v>
      </c>
      <c r="C1085" s="13">
        <f>VLOOKUP(A:A,'Nifty 50 '!$A:$B,2,0)</f>
        <v>17898.650000000001</v>
      </c>
      <c r="D1085" s="13">
        <f t="shared" si="16"/>
        <v>-1.0426578906805152E-2</v>
      </c>
      <c r="E1085" s="13">
        <f t="shared" si="16"/>
        <v>-7.5063196902765391E-3</v>
      </c>
      <c r="G1085" s="4"/>
    </row>
    <row r="1086" spans="1:7" x14ac:dyDescent="0.3">
      <c r="A1086" s="25">
        <v>44516</v>
      </c>
      <c r="B1086" s="13">
        <v>1711.6</v>
      </c>
      <c r="C1086" s="13">
        <f>VLOOKUP(A:A,'Nifty 50 '!$A:$B,2,0)</f>
        <v>17999.2</v>
      </c>
      <c r="D1086" s="13">
        <f t="shared" si="16"/>
        <v>-3.0134163614480066E-3</v>
      </c>
      <c r="E1086" s="13">
        <f t="shared" si="16"/>
        <v>-5.6020214558960254E-3</v>
      </c>
      <c r="G1086" s="4"/>
    </row>
    <row r="1087" spans="1:7" x14ac:dyDescent="0.3">
      <c r="A1087" s="25">
        <v>44515</v>
      </c>
      <c r="B1087" s="13">
        <v>1749.55</v>
      </c>
      <c r="C1087" s="13">
        <f>VLOOKUP(A:A,'Nifty 50 '!$A:$B,2,0)</f>
        <v>18109.45</v>
      </c>
      <c r="D1087" s="13">
        <f t="shared" si="16"/>
        <v>-2.193000645086195E-2</v>
      </c>
      <c r="E1087" s="13">
        <f t="shared" si="16"/>
        <v>-6.1065890087613648E-3</v>
      </c>
      <c r="G1087" s="4"/>
    </row>
    <row r="1088" spans="1:7" x14ac:dyDescent="0.3">
      <c r="A1088" s="25">
        <v>44512</v>
      </c>
      <c r="B1088" s="13">
        <v>1705.2</v>
      </c>
      <c r="C1088" s="13">
        <f>VLOOKUP(A:A,'Nifty 50 '!$A:$B,2,0)</f>
        <v>18102.75</v>
      </c>
      <c r="D1088" s="13">
        <f t="shared" si="16"/>
        <v>2.5676206102468267E-2</v>
      </c>
      <c r="E1088" s="13">
        <f t="shared" si="16"/>
        <v>3.700410401166087E-4</v>
      </c>
      <c r="G1088" s="4"/>
    </row>
    <row r="1089" spans="1:7" x14ac:dyDescent="0.3">
      <c r="A1089" s="25">
        <v>44511</v>
      </c>
      <c r="B1089" s="13">
        <v>1664.9</v>
      </c>
      <c r="C1089" s="13">
        <f>VLOOKUP(A:A,'Nifty 50 '!$A:$B,2,0)</f>
        <v>17873.599999999999</v>
      </c>
      <c r="D1089" s="13">
        <f t="shared" si="16"/>
        <v>2.3917344340248628E-2</v>
      </c>
      <c r="E1089" s="13">
        <f t="shared" si="16"/>
        <v>1.2739096598234837E-2</v>
      </c>
      <c r="G1089" s="4"/>
    </row>
    <row r="1090" spans="1:7" x14ac:dyDescent="0.3">
      <c r="A1090" s="25">
        <v>44510</v>
      </c>
      <c r="B1090" s="13">
        <v>1655.85</v>
      </c>
      <c r="C1090" s="13">
        <f>VLOOKUP(A:A,'Nifty 50 '!$A:$B,2,0)</f>
        <v>18017.2</v>
      </c>
      <c r="D1090" s="13">
        <f t="shared" si="16"/>
        <v>5.4505894183362255E-3</v>
      </c>
      <c r="E1090" s="13">
        <f t="shared" si="16"/>
        <v>-8.0020933646903214E-3</v>
      </c>
      <c r="G1090" s="4"/>
    </row>
    <row r="1091" spans="1:7" x14ac:dyDescent="0.3">
      <c r="A1091" s="25">
        <v>44509</v>
      </c>
      <c r="B1091" s="13">
        <v>1635.45</v>
      </c>
      <c r="C1091" s="13">
        <f>VLOOKUP(A:A,'Nifty 50 '!$A:$B,2,0)</f>
        <v>18044.25</v>
      </c>
      <c r="D1091" s="13">
        <f t="shared" si="16"/>
        <v>1.2396476311969891E-2</v>
      </c>
      <c r="E1091" s="13">
        <f t="shared" si="16"/>
        <v>-1.5002172720921161E-3</v>
      </c>
      <c r="G1091" s="4"/>
    </row>
    <row r="1092" spans="1:7" x14ac:dyDescent="0.3">
      <c r="A1092" s="25">
        <v>44508</v>
      </c>
      <c r="B1092" s="13">
        <v>1568.25</v>
      </c>
      <c r="C1092" s="13">
        <f>VLOOKUP(A:A,'Nifty 50 '!$A:$B,2,0)</f>
        <v>18068.55</v>
      </c>
      <c r="D1092" s="13">
        <f t="shared" ref="D1092:E1155" si="17">LN(B1091/B1092)</f>
        <v>4.1957647843647909E-2</v>
      </c>
      <c r="E1092" s="13">
        <f t="shared" si="17"/>
        <v>-1.3457834157164536E-3</v>
      </c>
      <c r="G1092" s="4"/>
    </row>
    <row r="1093" spans="1:7" x14ac:dyDescent="0.3">
      <c r="A1093" s="25">
        <v>44504</v>
      </c>
      <c r="B1093" s="13">
        <v>1489.45</v>
      </c>
      <c r="C1093" s="13">
        <f>VLOOKUP(A:A,'Nifty 50 '!$A:$B,2,0)</f>
        <v>17916.8</v>
      </c>
      <c r="D1093" s="13">
        <f t="shared" si="17"/>
        <v>5.1553423698458056E-2</v>
      </c>
      <c r="E1093" s="13">
        <f t="shared" si="17"/>
        <v>8.4340377145086798E-3</v>
      </c>
      <c r="G1093" s="4"/>
    </row>
    <row r="1094" spans="1:7" x14ac:dyDescent="0.3">
      <c r="A1094" s="25">
        <v>44503</v>
      </c>
      <c r="B1094" s="13">
        <v>1485.9</v>
      </c>
      <c r="C1094" s="13">
        <f>VLOOKUP(A:A,'Nifty 50 '!$A:$B,2,0)</f>
        <v>17829.2</v>
      </c>
      <c r="D1094" s="13">
        <f t="shared" si="17"/>
        <v>2.386275016092944E-3</v>
      </c>
      <c r="E1094" s="13">
        <f t="shared" si="17"/>
        <v>4.9012575036592558E-3</v>
      </c>
      <c r="G1094" s="4"/>
    </row>
    <row r="1095" spans="1:7" x14ac:dyDescent="0.3">
      <c r="A1095" s="25">
        <v>44502</v>
      </c>
      <c r="B1095" s="13">
        <v>1472.8</v>
      </c>
      <c r="C1095" s="13">
        <f>VLOOKUP(A:A,'Nifty 50 '!$A:$B,2,0)</f>
        <v>17888.95</v>
      </c>
      <c r="D1095" s="13">
        <f t="shared" si="17"/>
        <v>8.8552983434336176E-3</v>
      </c>
      <c r="E1095" s="13">
        <f t="shared" si="17"/>
        <v>-3.3456411226991806E-3</v>
      </c>
      <c r="G1095" s="4"/>
    </row>
    <row r="1096" spans="1:7" x14ac:dyDescent="0.3">
      <c r="A1096" s="25">
        <v>44501</v>
      </c>
      <c r="B1096" s="13">
        <v>1445.3</v>
      </c>
      <c r="C1096" s="13">
        <f>VLOOKUP(A:A,'Nifty 50 '!$A:$B,2,0)</f>
        <v>17929.650000000001</v>
      </c>
      <c r="D1096" s="13">
        <f t="shared" si="17"/>
        <v>1.8848438464071877E-2</v>
      </c>
      <c r="E1096" s="13">
        <f t="shared" si="17"/>
        <v>-2.2725632780962878E-3</v>
      </c>
      <c r="G1096" s="4"/>
    </row>
    <row r="1097" spans="1:7" x14ac:dyDescent="0.3">
      <c r="A1097" s="25">
        <v>44498</v>
      </c>
      <c r="B1097" s="13">
        <v>1423.6</v>
      </c>
      <c r="C1097" s="13">
        <f>VLOOKUP(A:A,'Nifty 50 '!$A:$B,2,0)</f>
        <v>17671.650000000001</v>
      </c>
      <c r="D1097" s="13">
        <f t="shared" si="17"/>
        <v>1.5128037818758778E-2</v>
      </c>
      <c r="E1097" s="13">
        <f t="shared" si="17"/>
        <v>1.4494106489669145E-2</v>
      </c>
      <c r="G1097" s="4"/>
    </row>
    <row r="1098" spans="1:7" x14ac:dyDescent="0.3">
      <c r="A1098" s="25">
        <v>44497</v>
      </c>
      <c r="B1098" s="13">
        <v>1398.55</v>
      </c>
      <c r="C1098" s="13">
        <f>VLOOKUP(A:A,'Nifty 50 '!$A:$B,2,0)</f>
        <v>17857.25</v>
      </c>
      <c r="D1098" s="13">
        <f t="shared" si="17"/>
        <v>1.775288904106884E-2</v>
      </c>
      <c r="E1098" s="13">
        <f t="shared" si="17"/>
        <v>-1.0447927649083697E-2</v>
      </c>
      <c r="G1098" s="4"/>
    </row>
    <row r="1099" spans="1:7" x14ac:dyDescent="0.3">
      <c r="A1099" s="25">
        <v>44496</v>
      </c>
      <c r="B1099" s="13">
        <v>1566.55</v>
      </c>
      <c r="C1099" s="13">
        <f>VLOOKUP(A:A,'Nifty 50 '!$A:$B,2,0)</f>
        <v>18210.95</v>
      </c>
      <c r="D1099" s="13">
        <f t="shared" si="17"/>
        <v>-0.1134397635770797</v>
      </c>
      <c r="E1099" s="13">
        <f t="shared" si="17"/>
        <v>-1.961347328760292E-2</v>
      </c>
      <c r="G1099" s="4"/>
    </row>
    <row r="1100" spans="1:7" x14ac:dyDescent="0.3">
      <c r="A1100" s="25">
        <v>44495</v>
      </c>
      <c r="B1100" s="13">
        <v>1543.85</v>
      </c>
      <c r="C1100" s="13">
        <f>VLOOKUP(A:A,'Nifty 50 '!$A:$B,2,0)</f>
        <v>18268.400000000001</v>
      </c>
      <c r="D1100" s="13">
        <f t="shared" si="17"/>
        <v>1.4596452565786337E-2</v>
      </c>
      <c r="E1100" s="13">
        <f t="shared" si="17"/>
        <v>-3.1497297783985938E-3</v>
      </c>
      <c r="G1100" s="4"/>
    </row>
    <row r="1101" spans="1:7" x14ac:dyDescent="0.3">
      <c r="A1101" s="25">
        <v>44494</v>
      </c>
      <c r="B1101" s="13">
        <v>1532.2</v>
      </c>
      <c r="C1101" s="13">
        <f>VLOOKUP(A:A,'Nifty 50 '!$A:$B,2,0)</f>
        <v>18125.400000000001</v>
      </c>
      <c r="D1101" s="13">
        <f t="shared" si="17"/>
        <v>7.5746855235413555E-3</v>
      </c>
      <c r="E1101" s="13">
        <f t="shared" si="17"/>
        <v>7.858521832249608E-3</v>
      </c>
      <c r="G1101" s="4"/>
    </row>
    <row r="1102" spans="1:7" x14ac:dyDescent="0.3">
      <c r="A1102" s="25">
        <v>44491</v>
      </c>
      <c r="B1102" s="13">
        <v>1543</v>
      </c>
      <c r="C1102" s="13">
        <f>VLOOKUP(A:A,'Nifty 50 '!$A:$B,2,0)</f>
        <v>18114.900000000001</v>
      </c>
      <c r="D1102" s="13">
        <f t="shared" si="17"/>
        <v>-7.023962280440243E-3</v>
      </c>
      <c r="E1102" s="13">
        <f t="shared" si="17"/>
        <v>5.7946541799084499E-4</v>
      </c>
      <c r="G1102" s="4"/>
    </row>
    <row r="1103" spans="1:7" x14ac:dyDescent="0.3">
      <c r="A1103" s="25">
        <v>44490</v>
      </c>
      <c r="B1103" s="13">
        <v>1595.05</v>
      </c>
      <c r="C1103" s="13">
        <f>VLOOKUP(A:A,'Nifty 50 '!$A:$B,2,0)</f>
        <v>18178.099999999999</v>
      </c>
      <c r="D1103" s="13">
        <f t="shared" si="17"/>
        <v>-3.3176510326829466E-2</v>
      </c>
      <c r="E1103" s="13">
        <f t="shared" si="17"/>
        <v>-3.4827687919410082E-3</v>
      </c>
      <c r="G1103" s="4"/>
    </row>
    <row r="1104" spans="1:7" x14ac:dyDescent="0.3">
      <c r="A1104" s="25">
        <v>44489</v>
      </c>
      <c r="B1104" s="13">
        <v>1589.7</v>
      </c>
      <c r="C1104" s="13">
        <f>VLOOKUP(A:A,'Nifty 50 '!$A:$B,2,0)</f>
        <v>18266.599999999999</v>
      </c>
      <c r="D1104" s="13">
        <f t="shared" si="17"/>
        <v>3.3597645231640909E-3</v>
      </c>
      <c r="E1104" s="13">
        <f t="shared" si="17"/>
        <v>-4.8566828074737599E-3</v>
      </c>
      <c r="G1104" s="4"/>
    </row>
    <row r="1105" spans="1:7" x14ac:dyDescent="0.3">
      <c r="A1105" s="25">
        <v>44488</v>
      </c>
      <c r="B1105" s="13">
        <v>1569.45</v>
      </c>
      <c r="C1105" s="13">
        <f>VLOOKUP(A:A,'Nifty 50 '!$A:$B,2,0)</f>
        <v>18418.75</v>
      </c>
      <c r="D1105" s="13">
        <f t="shared" si="17"/>
        <v>1.2820079671659991E-2</v>
      </c>
      <c r="E1105" s="13">
        <f t="shared" si="17"/>
        <v>-8.2949118597041606E-3</v>
      </c>
      <c r="G1105" s="4"/>
    </row>
    <row r="1106" spans="1:7" x14ac:dyDescent="0.3">
      <c r="A1106" s="25">
        <v>44487</v>
      </c>
      <c r="B1106" s="13">
        <v>1615.5</v>
      </c>
      <c r="C1106" s="13">
        <f>VLOOKUP(A:A,'Nifty 50 '!$A:$B,2,0)</f>
        <v>18477.05</v>
      </c>
      <c r="D1106" s="13">
        <f t="shared" si="17"/>
        <v>-2.8919266769386928E-2</v>
      </c>
      <c r="E1106" s="13">
        <f t="shared" si="17"/>
        <v>-3.1602539324889403E-3</v>
      </c>
      <c r="G1106" s="4"/>
    </row>
    <row r="1107" spans="1:7" x14ac:dyDescent="0.3">
      <c r="A1107" s="25">
        <v>44483</v>
      </c>
      <c r="B1107" s="13">
        <v>1646.35</v>
      </c>
      <c r="C1107" s="13">
        <f>VLOOKUP(A:A,'Nifty 50 '!$A:$B,2,0)</f>
        <v>18338.55</v>
      </c>
      <c r="D1107" s="13">
        <f t="shared" si="17"/>
        <v>-1.8916210063502525E-2</v>
      </c>
      <c r="E1107" s="13">
        <f t="shared" si="17"/>
        <v>7.5240198928300944E-3</v>
      </c>
      <c r="G1107" s="4"/>
    </row>
    <row r="1108" spans="1:7" x14ac:dyDescent="0.3">
      <c r="A1108" s="25">
        <v>44482</v>
      </c>
      <c r="B1108" s="13">
        <v>1569.7</v>
      </c>
      <c r="C1108" s="13">
        <f>VLOOKUP(A:A,'Nifty 50 '!$A:$B,2,0)</f>
        <v>18161.75</v>
      </c>
      <c r="D1108" s="13">
        <f t="shared" si="17"/>
        <v>4.7676198046894262E-2</v>
      </c>
      <c r="E1108" s="13">
        <f t="shared" si="17"/>
        <v>9.6876673744827318E-3</v>
      </c>
      <c r="G1108" s="4"/>
    </row>
    <row r="1109" spans="1:7" x14ac:dyDescent="0.3">
      <c r="A1109" s="25">
        <v>44481</v>
      </c>
      <c r="B1109" s="13">
        <v>1554.45</v>
      </c>
      <c r="C1109" s="13">
        <f>VLOOKUP(A:A,'Nifty 50 '!$A:$B,2,0)</f>
        <v>17991.95</v>
      </c>
      <c r="D1109" s="13">
        <f t="shared" si="17"/>
        <v>9.762732982825064E-3</v>
      </c>
      <c r="E1109" s="13">
        <f t="shared" si="17"/>
        <v>9.3932985287852669E-3</v>
      </c>
      <c r="G1109" s="4"/>
    </row>
    <row r="1110" spans="1:7" x14ac:dyDescent="0.3">
      <c r="A1110" s="25">
        <v>44480</v>
      </c>
      <c r="B1110" s="13">
        <v>1539.75</v>
      </c>
      <c r="C1110" s="13">
        <f>VLOOKUP(A:A,'Nifty 50 '!$A:$B,2,0)</f>
        <v>17945.95</v>
      </c>
      <c r="D1110" s="13">
        <f t="shared" si="17"/>
        <v>9.5017197311835343E-3</v>
      </c>
      <c r="E1110" s="13">
        <f t="shared" si="17"/>
        <v>2.5599729044600752E-3</v>
      </c>
      <c r="G1110" s="4"/>
    </row>
    <row r="1111" spans="1:7" x14ac:dyDescent="0.3">
      <c r="A1111" s="25">
        <v>44477</v>
      </c>
      <c r="B1111" s="13">
        <v>1547.9</v>
      </c>
      <c r="C1111" s="13">
        <f>VLOOKUP(A:A,'Nifty 50 '!$A:$B,2,0)</f>
        <v>17895.2</v>
      </c>
      <c r="D1111" s="13">
        <f t="shared" si="17"/>
        <v>-5.2791080126792069E-3</v>
      </c>
      <c r="E1111" s="13">
        <f t="shared" si="17"/>
        <v>2.831942274032983E-3</v>
      </c>
      <c r="G1111" s="4"/>
    </row>
    <row r="1112" spans="1:7" x14ac:dyDescent="0.3">
      <c r="A1112" s="25">
        <v>44476</v>
      </c>
      <c r="B1112" s="13">
        <v>1520.75</v>
      </c>
      <c r="C1112" s="13">
        <f>VLOOKUP(A:A,'Nifty 50 '!$A:$B,2,0)</f>
        <v>17790.349999999999</v>
      </c>
      <c r="D1112" s="13">
        <f t="shared" si="17"/>
        <v>1.7695539379017154E-2</v>
      </c>
      <c r="E1112" s="13">
        <f t="shared" si="17"/>
        <v>5.8763450034090793E-3</v>
      </c>
      <c r="G1112" s="4"/>
    </row>
    <row r="1113" spans="1:7" x14ac:dyDescent="0.3">
      <c r="A1113" s="25">
        <v>44475</v>
      </c>
      <c r="B1113" s="13">
        <v>1479.55</v>
      </c>
      <c r="C1113" s="13">
        <f>VLOOKUP(A:A,'Nifty 50 '!$A:$B,2,0)</f>
        <v>17646</v>
      </c>
      <c r="D1113" s="13">
        <f t="shared" si="17"/>
        <v>2.7465646730514E-2</v>
      </c>
      <c r="E1113" s="13">
        <f t="shared" si="17"/>
        <v>8.1470466584434558E-3</v>
      </c>
      <c r="G1113" s="4"/>
    </row>
    <row r="1114" spans="1:7" x14ac:dyDescent="0.3">
      <c r="A1114" s="25">
        <v>44474</v>
      </c>
      <c r="B1114" s="13">
        <v>1527.65</v>
      </c>
      <c r="C1114" s="13">
        <f>VLOOKUP(A:A,'Nifty 50 '!$A:$B,2,0)</f>
        <v>17822.3</v>
      </c>
      <c r="D1114" s="13">
        <f t="shared" si="17"/>
        <v>-3.1992619426845212E-2</v>
      </c>
      <c r="E1114" s="13">
        <f t="shared" si="17"/>
        <v>-9.9413533765346368E-3</v>
      </c>
      <c r="G1114" s="4"/>
    </row>
    <row r="1115" spans="1:7" x14ac:dyDescent="0.3">
      <c r="A1115" s="25">
        <v>44473</v>
      </c>
      <c r="B1115" s="13">
        <v>1526.65</v>
      </c>
      <c r="C1115" s="13">
        <f>VLOOKUP(A:A,'Nifty 50 '!$A:$B,2,0)</f>
        <v>17691.25</v>
      </c>
      <c r="D1115" s="13">
        <f t="shared" si="17"/>
        <v>6.5481454718394657E-4</v>
      </c>
      <c r="E1115" s="13">
        <f t="shared" si="17"/>
        <v>7.3803151105359625E-3</v>
      </c>
      <c r="G1115" s="4"/>
    </row>
    <row r="1116" spans="1:7" x14ac:dyDescent="0.3">
      <c r="A1116" s="25">
        <v>44470</v>
      </c>
      <c r="B1116" s="13">
        <v>1458.7</v>
      </c>
      <c r="C1116" s="13">
        <f>VLOOKUP(A:A,'Nifty 50 '!$A:$B,2,0)</f>
        <v>17532.05</v>
      </c>
      <c r="D1116" s="13">
        <f t="shared" si="17"/>
        <v>4.5530164257794499E-2</v>
      </c>
      <c r="E1116" s="13">
        <f t="shared" si="17"/>
        <v>9.0395325855123446E-3</v>
      </c>
      <c r="G1116" s="4"/>
    </row>
    <row r="1117" spans="1:7" x14ac:dyDescent="0.3">
      <c r="A1117" s="25">
        <v>44469</v>
      </c>
      <c r="B1117" s="13">
        <v>1468.1</v>
      </c>
      <c r="C1117" s="13">
        <f>VLOOKUP(A:A,'Nifty 50 '!$A:$B,2,0)</f>
        <v>17618.150000000001</v>
      </c>
      <c r="D1117" s="13">
        <f t="shared" si="17"/>
        <v>-6.4234196532470195E-3</v>
      </c>
      <c r="E1117" s="13">
        <f t="shared" si="17"/>
        <v>-4.8989861907132821E-3</v>
      </c>
      <c r="G1117" s="4"/>
    </row>
    <row r="1118" spans="1:7" x14ac:dyDescent="0.3">
      <c r="A1118" s="25">
        <v>44468</v>
      </c>
      <c r="B1118" s="13">
        <v>1485.65</v>
      </c>
      <c r="C1118" s="13">
        <f>VLOOKUP(A:A,'Nifty 50 '!$A:$B,2,0)</f>
        <v>17711.3</v>
      </c>
      <c r="D1118" s="13">
        <f t="shared" si="17"/>
        <v>-1.1883339161826769E-2</v>
      </c>
      <c r="E1118" s="13">
        <f t="shared" si="17"/>
        <v>-5.2732332856385341E-3</v>
      </c>
      <c r="G1118" s="4"/>
    </row>
    <row r="1119" spans="1:7" x14ac:dyDescent="0.3">
      <c r="A1119" s="25">
        <v>44467</v>
      </c>
      <c r="B1119" s="13">
        <v>1487.3</v>
      </c>
      <c r="C1119" s="13">
        <f>VLOOKUP(A:A,'Nifty 50 '!$A:$B,2,0)</f>
        <v>17748.599999999999</v>
      </c>
      <c r="D1119" s="13">
        <f t="shared" si="17"/>
        <v>-1.1100086913108133E-3</v>
      </c>
      <c r="E1119" s="13">
        <f t="shared" si="17"/>
        <v>-2.1037856145795374E-3</v>
      </c>
      <c r="G1119" s="4"/>
    </row>
    <row r="1120" spans="1:7" x14ac:dyDescent="0.3">
      <c r="A1120" s="25">
        <v>44466</v>
      </c>
      <c r="B1120" s="13">
        <v>1531.25</v>
      </c>
      <c r="C1120" s="13">
        <f>VLOOKUP(A:A,'Nifty 50 '!$A:$B,2,0)</f>
        <v>17855.099999999999</v>
      </c>
      <c r="D1120" s="13">
        <f t="shared" si="17"/>
        <v>-2.9121999694484885E-2</v>
      </c>
      <c r="E1120" s="13">
        <f t="shared" si="17"/>
        <v>-5.982542131478065E-3</v>
      </c>
      <c r="G1120" s="4"/>
    </row>
    <row r="1121" spans="1:7" x14ac:dyDescent="0.3">
      <c r="A1121" s="25">
        <v>44463</v>
      </c>
      <c r="B1121" s="13">
        <v>1461.7</v>
      </c>
      <c r="C1121" s="13">
        <f>VLOOKUP(A:A,'Nifty 50 '!$A:$B,2,0)</f>
        <v>17853.2</v>
      </c>
      <c r="D1121" s="13">
        <f t="shared" si="17"/>
        <v>4.6484253397790033E-2</v>
      </c>
      <c r="E1121" s="13">
        <f t="shared" si="17"/>
        <v>1.0641783572961581E-4</v>
      </c>
      <c r="G1121" s="4"/>
    </row>
    <row r="1122" spans="1:7" x14ac:dyDescent="0.3">
      <c r="A1122" s="25">
        <v>44462</v>
      </c>
      <c r="B1122" s="13">
        <v>1474.35</v>
      </c>
      <c r="C1122" s="13">
        <f>VLOOKUP(A:A,'Nifty 50 '!$A:$B,2,0)</f>
        <v>17822.95</v>
      </c>
      <c r="D1122" s="13">
        <f t="shared" si="17"/>
        <v>-8.6170727855009403E-3</v>
      </c>
      <c r="E1122" s="13">
        <f t="shared" si="17"/>
        <v>1.6958111931557232E-3</v>
      </c>
      <c r="G1122" s="4"/>
    </row>
    <row r="1123" spans="1:7" x14ac:dyDescent="0.3">
      <c r="A1123" s="25">
        <v>44461</v>
      </c>
      <c r="B1123" s="13">
        <v>1437.75</v>
      </c>
      <c r="C1123" s="13">
        <f>VLOOKUP(A:A,'Nifty 50 '!$A:$B,2,0)</f>
        <v>17546.650000000001</v>
      </c>
      <c r="D1123" s="13">
        <f t="shared" si="17"/>
        <v>2.5137823086884389E-2</v>
      </c>
      <c r="E1123" s="13">
        <f t="shared" si="17"/>
        <v>1.5623904173446654E-2</v>
      </c>
      <c r="G1123" s="4"/>
    </row>
    <row r="1124" spans="1:7" x14ac:dyDescent="0.3">
      <c r="A1124" s="25">
        <v>44460</v>
      </c>
      <c r="B1124" s="13">
        <v>1441.45</v>
      </c>
      <c r="C1124" s="13">
        <f>VLOOKUP(A:A,'Nifty 50 '!$A:$B,2,0)</f>
        <v>17562</v>
      </c>
      <c r="D1124" s="13">
        <f t="shared" si="17"/>
        <v>-2.5701597921393864E-3</v>
      </c>
      <c r="E1124" s="13">
        <f t="shared" si="17"/>
        <v>-8.744284373270665E-4</v>
      </c>
      <c r="G1124" s="4"/>
    </row>
    <row r="1125" spans="1:7" x14ac:dyDescent="0.3">
      <c r="A1125" s="25">
        <v>44459</v>
      </c>
      <c r="B1125" s="13">
        <v>1418.85</v>
      </c>
      <c r="C1125" s="13">
        <f>VLOOKUP(A:A,'Nifty 50 '!$A:$B,2,0)</f>
        <v>17396.900000000001</v>
      </c>
      <c r="D1125" s="13">
        <f t="shared" si="17"/>
        <v>1.58028670587139E-2</v>
      </c>
      <c r="E1125" s="13">
        <f t="shared" si="17"/>
        <v>9.4454475094025107E-3</v>
      </c>
      <c r="G1125" s="4"/>
    </row>
    <row r="1126" spans="1:7" x14ac:dyDescent="0.3">
      <c r="A1126" s="25">
        <v>44456</v>
      </c>
      <c r="B1126" s="13">
        <v>1480.25</v>
      </c>
      <c r="C1126" s="13">
        <f>VLOOKUP(A:A,'Nifty 50 '!$A:$B,2,0)</f>
        <v>17585.150000000001</v>
      </c>
      <c r="D1126" s="13">
        <f t="shared" si="17"/>
        <v>-4.2364308084596396E-2</v>
      </c>
      <c r="E1126" s="13">
        <f t="shared" si="17"/>
        <v>-1.0762766458321043E-2</v>
      </c>
      <c r="G1126" s="4"/>
    </row>
    <row r="1127" spans="1:7" x14ac:dyDescent="0.3">
      <c r="A1127" s="25">
        <v>44455</v>
      </c>
      <c r="B1127" s="13">
        <v>1503.2</v>
      </c>
      <c r="C1127" s="13">
        <f>VLOOKUP(A:A,'Nifty 50 '!$A:$B,2,0)</f>
        <v>17629.5</v>
      </c>
      <c r="D1127" s="13">
        <f t="shared" si="17"/>
        <v>-1.5385176687370123E-2</v>
      </c>
      <c r="E1127" s="13">
        <f t="shared" si="17"/>
        <v>-2.5188393721590984E-3</v>
      </c>
      <c r="G1127" s="4"/>
    </row>
    <row r="1128" spans="1:7" x14ac:dyDescent="0.3">
      <c r="A1128" s="25">
        <v>44454</v>
      </c>
      <c r="B1128" s="13">
        <v>1516.8</v>
      </c>
      <c r="C1128" s="13">
        <f>VLOOKUP(A:A,'Nifty 50 '!$A:$B,2,0)</f>
        <v>17519.45</v>
      </c>
      <c r="D1128" s="13">
        <f t="shared" si="17"/>
        <v>-9.0066834015017725E-3</v>
      </c>
      <c r="E1128" s="13">
        <f t="shared" si="17"/>
        <v>6.2619429374609938E-3</v>
      </c>
      <c r="G1128" s="4"/>
    </row>
    <row r="1129" spans="1:7" x14ac:dyDescent="0.3">
      <c r="A1129" s="25">
        <v>44453</v>
      </c>
      <c r="B1129" s="13">
        <v>1513.2</v>
      </c>
      <c r="C1129" s="13">
        <f>VLOOKUP(A:A,'Nifty 50 '!$A:$B,2,0)</f>
        <v>17380</v>
      </c>
      <c r="D1129" s="13">
        <f t="shared" si="17"/>
        <v>2.3762387418831653E-3</v>
      </c>
      <c r="E1129" s="13">
        <f t="shared" si="17"/>
        <v>7.9915724841745379E-3</v>
      </c>
      <c r="G1129" s="4"/>
    </row>
    <row r="1130" spans="1:7" x14ac:dyDescent="0.3">
      <c r="A1130" s="25">
        <v>44452</v>
      </c>
      <c r="B1130" s="13">
        <v>1532.45</v>
      </c>
      <c r="C1130" s="13">
        <f>VLOOKUP(A:A,'Nifty 50 '!$A:$B,2,0)</f>
        <v>17355.3</v>
      </c>
      <c r="D1130" s="13">
        <f t="shared" si="17"/>
        <v>-1.2641148091832611E-2</v>
      </c>
      <c r="E1130" s="13">
        <f t="shared" si="17"/>
        <v>1.4221845881971984E-3</v>
      </c>
      <c r="G1130" s="4"/>
    </row>
    <row r="1131" spans="1:7" x14ac:dyDescent="0.3">
      <c r="A1131" s="25">
        <v>44448</v>
      </c>
      <c r="B1131" s="13">
        <v>1545</v>
      </c>
      <c r="C1131" s="13">
        <f>VLOOKUP(A:A,'Nifty 50 '!$A:$B,2,0)</f>
        <v>17369.25</v>
      </c>
      <c r="D1131" s="13">
        <f t="shared" si="17"/>
        <v>-8.1561484811390281E-3</v>
      </c>
      <c r="E1131" s="13">
        <f t="shared" si="17"/>
        <v>-8.0346617885402119E-4</v>
      </c>
      <c r="G1131" s="4"/>
    </row>
    <row r="1132" spans="1:7" x14ac:dyDescent="0.3">
      <c r="A1132" s="25">
        <v>44447</v>
      </c>
      <c r="B1132" s="13">
        <v>1555.95</v>
      </c>
      <c r="C1132" s="13">
        <f>VLOOKUP(A:A,'Nifty 50 '!$A:$B,2,0)</f>
        <v>17353.5</v>
      </c>
      <c r="D1132" s="13">
        <f t="shared" si="17"/>
        <v>-7.0623812141009682E-3</v>
      </c>
      <c r="E1132" s="13">
        <f t="shared" si="17"/>
        <v>9.0718627298651939E-4</v>
      </c>
      <c r="G1132" s="4"/>
    </row>
    <row r="1133" spans="1:7" x14ac:dyDescent="0.3">
      <c r="A1133" s="25">
        <v>44446</v>
      </c>
      <c r="B1133" s="13">
        <v>1558.1</v>
      </c>
      <c r="C1133" s="13">
        <f>VLOOKUP(A:A,'Nifty 50 '!$A:$B,2,0)</f>
        <v>17362.099999999999</v>
      </c>
      <c r="D1133" s="13">
        <f t="shared" si="17"/>
        <v>-1.3808386773621006E-3</v>
      </c>
      <c r="E1133" s="13">
        <f t="shared" si="17"/>
        <v>-4.9545450321603589E-4</v>
      </c>
      <c r="G1133" s="4"/>
    </row>
    <row r="1134" spans="1:7" x14ac:dyDescent="0.3">
      <c r="A1134" s="25">
        <v>44445</v>
      </c>
      <c r="B1134" s="13">
        <v>1582</v>
      </c>
      <c r="C1134" s="13">
        <f>VLOOKUP(A:A,'Nifty 50 '!$A:$B,2,0)</f>
        <v>17377.8</v>
      </c>
      <c r="D1134" s="13">
        <f t="shared" si="17"/>
        <v>-1.522273910429028E-2</v>
      </c>
      <c r="E1134" s="13">
        <f t="shared" si="17"/>
        <v>-9.0385988841995806E-4</v>
      </c>
      <c r="G1134" s="4"/>
    </row>
    <row r="1135" spans="1:7" x14ac:dyDescent="0.3">
      <c r="A1135" s="25">
        <v>44442</v>
      </c>
      <c r="B1135" s="13">
        <v>1565.55</v>
      </c>
      <c r="C1135" s="13">
        <f>VLOOKUP(A:A,'Nifty 50 '!$A:$B,2,0)</f>
        <v>17323.599999999999</v>
      </c>
      <c r="D1135" s="13">
        <f t="shared" si="17"/>
        <v>1.0452669393428819E-2</v>
      </c>
      <c r="E1135" s="13">
        <f t="shared" si="17"/>
        <v>3.1237958165422752E-3</v>
      </c>
      <c r="G1135" s="4"/>
    </row>
    <row r="1136" spans="1:7" x14ac:dyDescent="0.3">
      <c r="A1136" s="25">
        <v>44441</v>
      </c>
      <c r="B1136" s="13">
        <v>1570.55</v>
      </c>
      <c r="C1136" s="13">
        <f>VLOOKUP(A:A,'Nifty 50 '!$A:$B,2,0)</f>
        <v>17234.150000000001</v>
      </c>
      <c r="D1136" s="13">
        <f t="shared" si="17"/>
        <v>-3.1886765323321533E-3</v>
      </c>
      <c r="E1136" s="13">
        <f t="shared" si="17"/>
        <v>5.1768532251176254E-3</v>
      </c>
      <c r="G1136" s="4"/>
    </row>
    <row r="1137" spans="1:7" x14ac:dyDescent="0.3">
      <c r="A1137" s="25">
        <v>44440</v>
      </c>
      <c r="B1137" s="13">
        <v>1565.2</v>
      </c>
      <c r="C1137" s="13">
        <f>VLOOKUP(A:A,'Nifty 50 '!$A:$B,2,0)</f>
        <v>17076.25</v>
      </c>
      <c r="D1137" s="13">
        <f t="shared" si="17"/>
        <v>3.4122651302452007E-3</v>
      </c>
      <c r="E1137" s="13">
        <f t="shared" si="17"/>
        <v>9.2042712853325718E-3</v>
      </c>
      <c r="G1137" s="4"/>
    </row>
    <row r="1138" spans="1:7" x14ac:dyDescent="0.3">
      <c r="A1138" s="25">
        <v>44439</v>
      </c>
      <c r="B1138" s="13">
        <v>1587.6</v>
      </c>
      <c r="C1138" s="13">
        <f>VLOOKUP(A:A,'Nifty 50 '!$A:$B,2,0)</f>
        <v>17132.2</v>
      </c>
      <c r="D1138" s="13">
        <f t="shared" si="17"/>
        <v>-1.4209830572652798E-2</v>
      </c>
      <c r="E1138" s="13">
        <f t="shared" si="17"/>
        <v>-3.2711245256615783E-3</v>
      </c>
      <c r="G1138" s="4"/>
    </row>
    <row r="1139" spans="1:7" x14ac:dyDescent="0.3">
      <c r="A1139" s="25">
        <v>44438</v>
      </c>
      <c r="B1139" s="13">
        <v>1516.55</v>
      </c>
      <c r="C1139" s="13">
        <f>VLOOKUP(A:A,'Nifty 50 '!$A:$B,2,0)</f>
        <v>16931.05</v>
      </c>
      <c r="D1139" s="13">
        <f t="shared" si="17"/>
        <v>4.5785423667678661E-2</v>
      </c>
      <c r="E1139" s="13">
        <f t="shared" si="17"/>
        <v>1.1810519440649946E-2</v>
      </c>
      <c r="G1139" s="4"/>
    </row>
    <row r="1140" spans="1:7" x14ac:dyDescent="0.3">
      <c r="A1140" s="25">
        <v>44435</v>
      </c>
      <c r="B1140" s="13">
        <v>1506.05</v>
      </c>
      <c r="C1140" s="13">
        <f>VLOOKUP(A:A,'Nifty 50 '!$A:$B,2,0)</f>
        <v>16705.2</v>
      </c>
      <c r="D1140" s="13">
        <f t="shared" si="17"/>
        <v>6.9476889013096619E-3</v>
      </c>
      <c r="E1140" s="13">
        <f t="shared" si="17"/>
        <v>1.3429166104186735E-2</v>
      </c>
      <c r="G1140" s="4"/>
    </row>
    <row r="1141" spans="1:7" x14ac:dyDescent="0.3">
      <c r="A1141" s="25">
        <v>44434</v>
      </c>
      <c r="B1141" s="13">
        <v>1475.7</v>
      </c>
      <c r="C1141" s="13">
        <f>VLOOKUP(A:A,'Nifty 50 '!$A:$B,2,0)</f>
        <v>16636.900000000001</v>
      </c>
      <c r="D1141" s="13">
        <f t="shared" si="17"/>
        <v>2.0357875870518096E-2</v>
      </c>
      <c r="E1141" s="13">
        <f t="shared" si="17"/>
        <v>4.0969282398875722E-3</v>
      </c>
      <c r="G1141" s="4"/>
    </row>
    <row r="1142" spans="1:7" x14ac:dyDescent="0.3">
      <c r="A1142" s="25">
        <v>44433</v>
      </c>
      <c r="B1142" s="13">
        <v>1475.35</v>
      </c>
      <c r="C1142" s="13">
        <f>VLOOKUP(A:A,'Nifty 50 '!$A:$B,2,0)</f>
        <v>16634.650000000001</v>
      </c>
      <c r="D1142" s="13">
        <f t="shared" si="17"/>
        <v>2.3720370826735534E-4</v>
      </c>
      <c r="E1142" s="13">
        <f t="shared" si="17"/>
        <v>1.3525068735473022E-4</v>
      </c>
      <c r="G1142" s="4"/>
    </row>
    <row r="1143" spans="1:7" x14ac:dyDescent="0.3">
      <c r="A1143" s="25">
        <v>44432</v>
      </c>
      <c r="B1143" s="13">
        <v>1437.8</v>
      </c>
      <c r="C1143" s="13">
        <f>VLOOKUP(A:A,'Nifty 50 '!$A:$B,2,0)</f>
        <v>16624.599999999999</v>
      </c>
      <c r="D1143" s="13">
        <f t="shared" si="17"/>
        <v>2.5781082211365304E-2</v>
      </c>
      <c r="E1143" s="13">
        <f t="shared" si="17"/>
        <v>6.0434317105073718E-4</v>
      </c>
      <c r="G1143" s="4"/>
    </row>
    <row r="1144" spans="1:7" x14ac:dyDescent="0.3">
      <c r="A1144" s="25">
        <v>44431</v>
      </c>
      <c r="B1144" s="13">
        <v>1396.7</v>
      </c>
      <c r="C1144" s="13">
        <f>VLOOKUP(A:A,'Nifty 50 '!$A:$B,2,0)</f>
        <v>16496.45</v>
      </c>
      <c r="D1144" s="13">
        <f t="shared" si="17"/>
        <v>2.9001856238045423E-2</v>
      </c>
      <c r="E1144" s="13">
        <f t="shared" si="17"/>
        <v>7.7383198591159386E-3</v>
      </c>
      <c r="G1144" s="4"/>
    </row>
    <row r="1145" spans="1:7" x14ac:dyDescent="0.3">
      <c r="A1145" s="25">
        <v>44428</v>
      </c>
      <c r="B1145" s="13">
        <v>1430.1</v>
      </c>
      <c r="C1145" s="13">
        <f>VLOOKUP(A:A,'Nifty 50 '!$A:$B,2,0)</f>
        <v>16450.5</v>
      </c>
      <c r="D1145" s="13">
        <f t="shared" si="17"/>
        <v>-2.3632060567163896E-2</v>
      </c>
      <c r="E1145" s="13">
        <f t="shared" si="17"/>
        <v>2.7893343567396453E-3</v>
      </c>
      <c r="G1145" s="4"/>
    </row>
    <row r="1146" spans="1:7" x14ac:dyDescent="0.3">
      <c r="A1146" s="25">
        <v>44426</v>
      </c>
      <c r="B1146" s="13">
        <v>1460</v>
      </c>
      <c r="C1146" s="13">
        <f>VLOOKUP(A:A,'Nifty 50 '!$A:$B,2,0)</f>
        <v>16568.849999999999</v>
      </c>
      <c r="D1146" s="13">
        <f t="shared" si="17"/>
        <v>-2.0692063823492549E-2</v>
      </c>
      <c r="E1146" s="13">
        <f t="shared" si="17"/>
        <v>-7.1685546090666519E-3</v>
      </c>
      <c r="G1146" s="4"/>
    </row>
    <row r="1147" spans="1:7" x14ac:dyDescent="0.3">
      <c r="A1147" s="25">
        <v>44425</v>
      </c>
      <c r="B1147" s="13">
        <v>1441.65</v>
      </c>
      <c r="C1147" s="13">
        <f>VLOOKUP(A:A,'Nifty 50 '!$A:$B,2,0)</f>
        <v>16614.599999999999</v>
      </c>
      <c r="D1147" s="13">
        <f t="shared" si="17"/>
        <v>1.2648144764979096E-2</v>
      </c>
      <c r="E1147" s="13">
        <f t="shared" si="17"/>
        <v>-2.7574003900989229E-3</v>
      </c>
      <c r="G1147" s="4"/>
    </row>
    <row r="1148" spans="1:7" x14ac:dyDescent="0.3">
      <c r="A1148" s="25">
        <v>44424</v>
      </c>
      <c r="B1148" s="13">
        <v>1430.1</v>
      </c>
      <c r="C1148" s="13">
        <f>VLOOKUP(A:A,'Nifty 50 '!$A:$B,2,0)</f>
        <v>16563.05</v>
      </c>
      <c r="D1148" s="13">
        <f t="shared" si="17"/>
        <v>8.0439190585135465E-3</v>
      </c>
      <c r="E1148" s="13">
        <f t="shared" si="17"/>
        <v>3.107516143149264E-3</v>
      </c>
      <c r="G1148" s="4"/>
    </row>
    <row r="1149" spans="1:7" x14ac:dyDescent="0.3">
      <c r="A1149" s="25">
        <v>44421</v>
      </c>
      <c r="B1149" s="13">
        <v>1437</v>
      </c>
      <c r="C1149" s="13">
        <f>VLOOKUP(A:A,'Nifty 50 '!$A:$B,2,0)</f>
        <v>16529.099999999999</v>
      </c>
      <c r="D1149" s="13">
        <f t="shared" si="17"/>
        <v>-4.8132352001353206E-3</v>
      </c>
      <c r="E1149" s="13">
        <f t="shared" si="17"/>
        <v>2.0518468525620097E-3</v>
      </c>
      <c r="G1149" s="4"/>
    </row>
    <row r="1150" spans="1:7" x14ac:dyDescent="0.3">
      <c r="A1150" s="25">
        <v>44420</v>
      </c>
      <c r="B1150" s="13">
        <v>1442.9</v>
      </c>
      <c r="C1150" s="13">
        <f>VLOOKUP(A:A,'Nifty 50 '!$A:$B,2,0)</f>
        <v>16364.4</v>
      </c>
      <c r="D1150" s="13">
        <f t="shared" si="17"/>
        <v>-4.0973702241851907E-3</v>
      </c>
      <c r="E1150" s="13">
        <f t="shared" si="17"/>
        <v>1.0014220220038851E-2</v>
      </c>
      <c r="G1150" s="4"/>
    </row>
    <row r="1151" spans="1:7" x14ac:dyDescent="0.3">
      <c r="A1151" s="25">
        <v>44419</v>
      </c>
      <c r="B1151" s="13">
        <v>1437.05</v>
      </c>
      <c r="C1151" s="13">
        <f>VLOOKUP(A:A,'Nifty 50 '!$A:$B,2,0)</f>
        <v>16282.25</v>
      </c>
      <c r="D1151" s="13">
        <f t="shared" si="17"/>
        <v>4.062576118303218E-3</v>
      </c>
      <c r="E1151" s="13">
        <f t="shared" si="17"/>
        <v>5.0326862566738252E-3</v>
      </c>
      <c r="G1151" s="4"/>
    </row>
    <row r="1152" spans="1:7" x14ac:dyDescent="0.3">
      <c r="A1152" s="25">
        <v>44418</v>
      </c>
      <c r="B1152" s="13">
        <v>1446.5</v>
      </c>
      <c r="C1152" s="13">
        <f>VLOOKUP(A:A,'Nifty 50 '!$A:$B,2,0)</f>
        <v>16280.1</v>
      </c>
      <c r="D1152" s="13">
        <f t="shared" si="17"/>
        <v>-6.5544442312829238E-3</v>
      </c>
      <c r="E1152" s="13">
        <f t="shared" si="17"/>
        <v>1.3205435130599847E-4</v>
      </c>
      <c r="G1152" s="4"/>
    </row>
    <row r="1153" spans="1:7" x14ac:dyDescent="0.3">
      <c r="A1153" s="25">
        <v>44417</v>
      </c>
      <c r="B1153" s="13">
        <v>1493.4</v>
      </c>
      <c r="C1153" s="13">
        <f>VLOOKUP(A:A,'Nifty 50 '!$A:$B,2,0)</f>
        <v>16258.25</v>
      </c>
      <c r="D1153" s="13">
        <f t="shared" si="17"/>
        <v>-3.1908554185411553E-2</v>
      </c>
      <c r="E1153" s="13">
        <f t="shared" si="17"/>
        <v>1.343030810369638E-3</v>
      </c>
      <c r="G1153" s="4"/>
    </row>
    <row r="1154" spans="1:7" x14ac:dyDescent="0.3">
      <c r="A1154" s="25">
        <v>44414</v>
      </c>
      <c r="B1154" s="13">
        <v>1536.65</v>
      </c>
      <c r="C1154" s="13">
        <f>VLOOKUP(A:A,'Nifty 50 '!$A:$B,2,0)</f>
        <v>16238.2</v>
      </c>
      <c r="D1154" s="13">
        <f t="shared" si="17"/>
        <v>-2.8549322675180202E-2</v>
      </c>
      <c r="E1154" s="13">
        <f t="shared" si="17"/>
        <v>1.233981099116492E-3</v>
      </c>
      <c r="G1154" s="4"/>
    </row>
    <row r="1155" spans="1:7" x14ac:dyDescent="0.3">
      <c r="A1155" s="25">
        <v>44413</v>
      </c>
      <c r="B1155" s="13">
        <v>1432.35</v>
      </c>
      <c r="C1155" s="13">
        <f>VLOOKUP(A:A,'Nifty 50 '!$A:$B,2,0)</f>
        <v>16294.6</v>
      </c>
      <c r="D1155" s="13">
        <f t="shared" si="17"/>
        <v>7.0288270212460383E-2</v>
      </c>
      <c r="E1155" s="13">
        <f t="shared" si="17"/>
        <v>-3.4672734288667254E-3</v>
      </c>
      <c r="G1155" s="4"/>
    </row>
    <row r="1156" spans="1:7" x14ac:dyDescent="0.3">
      <c r="A1156" s="25">
        <v>44412</v>
      </c>
      <c r="B1156" s="13">
        <v>1429.55</v>
      </c>
      <c r="C1156" s="13">
        <f>VLOOKUP(A:A,'Nifty 50 '!$A:$B,2,0)</f>
        <v>16258.8</v>
      </c>
      <c r="D1156" s="13">
        <f t="shared" ref="D1156:E1219" si="18">LN(B1155/B1156)</f>
        <v>1.9567426488670383E-3</v>
      </c>
      <c r="E1156" s="13">
        <f t="shared" si="18"/>
        <v>2.1994639228035033E-3</v>
      </c>
      <c r="G1156" s="4"/>
    </row>
    <row r="1157" spans="1:7" x14ac:dyDescent="0.3">
      <c r="A1157" s="25">
        <v>44411</v>
      </c>
      <c r="B1157" s="13">
        <v>1442.8</v>
      </c>
      <c r="C1157" s="13">
        <f>VLOOKUP(A:A,'Nifty 50 '!$A:$B,2,0)</f>
        <v>16130.75</v>
      </c>
      <c r="D1157" s="13">
        <f t="shared" si="18"/>
        <v>-9.2259606139297994E-3</v>
      </c>
      <c r="E1157" s="13">
        <f t="shared" si="18"/>
        <v>7.9069123919256155E-3</v>
      </c>
      <c r="G1157" s="4"/>
    </row>
    <row r="1158" spans="1:7" x14ac:dyDescent="0.3">
      <c r="A1158" s="25">
        <v>44410</v>
      </c>
      <c r="B1158" s="13">
        <v>1438.2</v>
      </c>
      <c r="C1158" s="13">
        <f>VLOOKUP(A:A,'Nifty 50 '!$A:$B,2,0)</f>
        <v>15885.15</v>
      </c>
      <c r="D1158" s="13">
        <f t="shared" si="18"/>
        <v>3.1933383609902511E-3</v>
      </c>
      <c r="E1158" s="13">
        <f t="shared" si="18"/>
        <v>1.5342677718794513E-2</v>
      </c>
      <c r="G1158" s="4"/>
    </row>
    <row r="1159" spans="1:7" x14ac:dyDescent="0.3">
      <c r="A1159" s="25">
        <v>44407</v>
      </c>
      <c r="B1159" s="13">
        <v>1420.25</v>
      </c>
      <c r="C1159" s="13">
        <f>VLOOKUP(A:A,'Nifty 50 '!$A:$B,2,0)</f>
        <v>15763.05</v>
      </c>
      <c r="D1159" s="13">
        <f t="shared" si="18"/>
        <v>1.255941923115745E-2</v>
      </c>
      <c r="E1159" s="13">
        <f t="shared" si="18"/>
        <v>7.716116923125624E-3</v>
      </c>
      <c r="G1159" s="4"/>
    </row>
    <row r="1160" spans="1:7" x14ac:dyDescent="0.3">
      <c r="A1160" s="25">
        <v>44406</v>
      </c>
      <c r="B1160" s="13">
        <v>1400.25</v>
      </c>
      <c r="C1160" s="13">
        <f>VLOOKUP(A:A,'Nifty 50 '!$A:$B,2,0)</f>
        <v>15778.45</v>
      </c>
      <c r="D1160" s="13">
        <f t="shared" si="18"/>
        <v>1.4182120347294536E-2</v>
      </c>
      <c r="E1160" s="13">
        <f t="shared" si="18"/>
        <v>-9.7649136684721917E-4</v>
      </c>
      <c r="G1160" s="4"/>
    </row>
    <row r="1161" spans="1:7" x14ac:dyDescent="0.3">
      <c r="A1161" s="25">
        <v>44405</v>
      </c>
      <c r="B1161" s="13">
        <v>1399.9</v>
      </c>
      <c r="C1161" s="13">
        <f>VLOOKUP(A:A,'Nifty 50 '!$A:$B,2,0)</f>
        <v>15709.4</v>
      </c>
      <c r="D1161" s="13">
        <f t="shared" si="18"/>
        <v>2.4998660916209208E-4</v>
      </c>
      <c r="E1161" s="13">
        <f t="shared" si="18"/>
        <v>4.3858256873079192E-3</v>
      </c>
      <c r="G1161" s="4"/>
    </row>
    <row r="1162" spans="1:7" x14ac:dyDescent="0.3">
      <c r="A1162" s="25">
        <v>44404</v>
      </c>
      <c r="B1162" s="13">
        <v>1396.75</v>
      </c>
      <c r="C1162" s="13">
        <f>VLOOKUP(A:A,'Nifty 50 '!$A:$B,2,0)</f>
        <v>15746.45</v>
      </c>
      <c r="D1162" s="13">
        <f t="shared" si="18"/>
        <v>2.252696141521458E-3</v>
      </c>
      <c r="E1162" s="13">
        <f t="shared" si="18"/>
        <v>-2.3556837366210791E-3</v>
      </c>
      <c r="G1162" s="4"/>
    </row>
    <row r="1163" spans="1:7" x14ac:dyDescent="0.3">
      <c r="A1163" s="25">
        <v>44403</v>
      </c>
      <c r="B1163" s="13">
        <v>1403.9</v>
      </c>
      <c r="C1163" s="13">
        <f>VLOOKUP(A:A,'Nifty 50 '!$A:$B,2,0)</f>
        <v>15824.45</v>
      </c>
      <c r="D1163" s="13">
        <f t="shared" si="18"/>
        <v>-5.1059686386473891E-3</v>
      </c>
      <c r="E1163" s="13">
        <f t="shared" si="18"/>
        <v>-4.941269251421819E-3</v>
      </c>
      <c r="G1163" s="4"/>
    </row>
    <row r="1164" spans="1:7" x14ac:dyDescent="0.3">
      <c r="A1164" s="25">
        <v>44400</v>
      </c>
      <c r="B1164" s="13">
        <v>1401.65</v>
      </c>
      <c r="C1164" s="13">
        <f>VLOOKUP(A:A,'Nifty 50 '!$A:$B,2,0)</f>
        <v>15856.05</v>
      </c>
      <c r="D1164" s="13">
        <f t="shared" si="18"/>
        <v>1.6039639160816074E-3</v>
      </c>
      <c r="E1164" s="13">
        <f t="shared" si="18"/>
        <v>-1.9949186710989724E-3</v>
      </c>
      <c r="G1164" s="4"/>
    </row>
    <row r="1165" spans="1:7" x14ac:dyDescent="0.3">
      <c r="A1165" s="25">
        <v>44399</v>
      </c>
      <c r="B1165" s="13">
        <v>1416.75</v>
      </c>
      <c r="C1165" s="13">
        <f>VLOOKUP(A:A,'Nifty 50 '!$A:$B,2,0)</f>
        <v>15824.05</v>
      </c>
      <c r="D1165" s="13">
        <f t="shared" si="18"/>
        <v>-1.071540198790456E-2</v>
      </c>
      <c r="E1165" s="13">
        <f t="shared" si="18"/>
        <v>2.020196330389148E-3</v>
      </c>
      <c r="G1165" s="4"/>
    </row>
    <row r="1166" spans="1:7" x14ac:dyDescent="0.3">
      <c r="A1166" s="25">
        <v>44397</v>
      </c>
      <c r="B1166" s="13">
        <v>1365.7</v>
      </c>
      <c r="C1166" s="13">
        <f>VLOOKUP(A:A,'Nifty 50 '!$A:$B,2,0)</f>
        <v>15632.1</v>
      </c>
      <c r="D1166" s="13">
        <f t="shared" si="18"/>
        <v>3.6698398365349744E-2</v>
      </c>
      <c r="E1166" s="13">
        <f t="shared" si="18"/>
        <v>1.2204442218645537E-2</v>
      </c>
      <c r="G1166" s="4"/>
    </row>
    <row r="1167" spans="1:7" x14ac:dyDescent="0.3">
      <c r="A1167" s="25">
        <v>44396</v>
      </c>
      <c r="B1167" s="13">
        <v>1380.6</v>
      </c>
      <c r="C1167" s="13">
        <f>VLOOKUP(A:A,'Nifty 50 '!$A:$B,2,0)</f>
        <v>15752.4</v>
      </c>
      <c r="D1167" s="13">
        <f t="shared" si="18"/>
        <v>-1.0851069584996313E-2</v>
      </c>
      <c r="E1167" s="13">
        <f t="shared" si="18"/>
        <v>-7.6662422011756432E-3</v>
      </c>
      <c r="G1167" s="4"/>
    </row>
    <row r="1168" spans="1:7" x14ac:dyDescent="0.3">
      <c r="A1168" s="25">
        <v>44393</v>
      </c>
      <c r="B1168" s="13">
        <v>1395.5</v>
      </c>
      <c r="C1168" s="13">
        <f>VLOOKUP(A:A,'Nifty 50 '!$A:$B,2,0)</f>
        <v>15923.4</v>
      </c>
      <c r="D1168" s="13">
        <f t="shared" si="18"/>
        <v>-1.0734586707001786E-2</v>
      </c>
      <c r="E1168" s="13">
        <f t="shared" si="18"/>
        <v>-1.0796990837843464E-2</v>
      </c>
      <c r="G1168" s="4"/>
    </row>
    <row r="1169" spans="1:7" x14ac:dyDescent="0.3">
      <c r="A1169" s="25">
        <v>44392</v>
      </c>
      <c r="B1169" s="13">
        <v>1407.95</v>
      </c>
      <c r="C1169" s="13">
        <f>VLOOKUP(A:A,'Nifty 50 '!$A:$B,2,0)</f>
        <v>15924.2</v>
      </c>
      <c r="D1169" s="13">
        <f t="shared" si="18"/>
        <v>-8.8819717474311714E-3</v>
      </c>
      <c r="E1169" s="13">
        <f t="shared" si="18"/>
        <v>-5.0239264507832973E-5</v>
      </c>
      <c r="G1169" s="4"/>
    </row>
    <row r="1170" spans="1:7" x14ac:dyDescent="0.3">
      <c r="A1170" s="25">
        <v>44391</v>
      </c>
      <c r="B1170" s="13">
        <v>1402.05</v>
      </c>
      <c r="C1170" s="13">
        <f>VLOOKUP(A:A,'Nifty 50 '!$A:$B,2,0)</f>
        <v>15853.95</v>
      </c>
      <c r="D1170" s="13">
        <f t="shared" si="18"/>
        <v>4.1992944271059427E-3</v>
      </c>
      <c r="E1170" s="13">
        <f t="shared" si="18"/>
        <v>4.4212840858116617E-3</v>
      </c>
      <c r="G1170" s="4"/>
    </row>
    <row r="1171" spans="1:7" x14ac:dyDescent="0.3">
      <c r="A1171" s="25">
        <v>44390</v>
      </c>
      <c r="B1171" s="13">
        <v>1417.7</v>
      </c>
      <c r="C1171" s="13">
        <f>VLOOKUP(A:A,'Nifty 50 '!$A:$B,2,0)</f>
        <v>15812.35</v>
      </c>
      <c r="D1171" s="13">
        <f t="shared" si="18"/>
        <v>-1.1100388826883743E-2</v>
      </c>
      <c r="E1171" s="13">
        <f t="shared" si="18"/>
        <v>2.6274003550276126E-3</v>
      </c>
      <c r="G1171" s="4"/>
    </row>
    <row r="1172" spans="1:7" x14ac:dyDescent="0.3">
      <c r="A1172" s="25">
        <v>44389</v>
      </c>
      <c r="B1172" s="13">
        <v>1420.7</v>
      </c>
      <c r="C1172" s="13">
        <f>VLOOKUP(A:A,'Nifty 50 '!$A:$B,2,0)</f>
        <v>15692.6</v>
      </c>
      <c r="D1172" s="13">
        <f t="shared" si="18"/>
        <v>-2.1138677544455865E-3</v>
      </c>
      <c r="E1172" s="13">
        <f t="shared" si="18"/>
        <v>7.6020166165659082E-3</v>
      </c>
      <c r="G1172" s="4"/>
    </row>
    <row r="1173" spans="1:7" x14ac:dyDescent="0.3">
      <c r="A1173" s="25">
        <v>44386</v>
      </c>
      <c r="B1173" s="13">
        <v>1431.35</v>
      </c>
      <c r="C1173" s="13">
        <f>VLOOKUP(A:A,'Nifty 50 '!$A:$B,2,0)</f>
        <v>15689.8</v>
      </c>
      <c r="D1173" s="13">
        <f t="shared" si="18"/>
        <v>-7.4683469794268988E-3</v>
      </c>
      <c r="E1173" s="13">
        <f t="shared" si="18"/>
        <v>1.7844396906752612E-4</v>
      </c>
      <c r="G1173" s="4"/>
    </row>
    <row r="1174" spans="1:7" x14ac:dyDescent="0.3">
      <c r="A1174" s="25">
        <v>44385</v>
      </c>
      <c r="B1174" s="13">
        <v>1425.9</v>
      </c>
      <c r="C1174" s="13">
        <f>VLOOKUP(A:A,'Nifty 50 '!$A:$B,2,0)</f>
        <v>15727.9</v>
      </c>
      <c r="D1174" s="13">
        <f t="shared" si="18"/>
        <v>3.8148615693848614E-3</v>
      </c>
      <c r="E1174" s="13">
        <f t="shared" si="18"/>
        <v>-2.4253856060068731E-3</v>
      </c>
      <c r="G1174" s="4"/>
    </row>
    <row r="1175" spans="1:7" x14ac:dyDescent="0.3">
      <c r="A1175" s="25">
        <v>44384</v>
      </c>
      <c r="B1175" s="13">
        <v>1425.65</v>
      </c>
      <c r="C1175" s="13">
        <f>VLOOKUP(A:A,'Nifty 50 '!$A:$B,2,0)</f>
        <v>15879.65</v>
      </c>
      <c r="D1175" s="13">
        <f t="shared" si="18"/>
        <v>1.7534323483062408E-4</v>
      </c>
      <c r="E1175" s="13">
        <f t="shared" si="18"/>
        <v>-9.6022099767209546E-3</v>
      </c>
      <c r="G1175" s="4"/>
    </row>
    <row r="1176" spans="1:7" x14ac:dyDescent="0.3">
      <c r="A1176" s="25">
        <v>44383</v>
      </c>
      <c r="B1176" s="13">
        <v>1414.8</v>
      </c>
      <c r="C1176" s="13">
        <f>VLOOKUP(A:A,'Nifty 50 '!$A:$B,2,0)</f>
        <v>15818.25</v>
      </c>
      <c r="D1176" s="13">
        <f t="shared" si="18"/>
        <v>7.6396717219173434E-3</v>
      </c>
      <c r="E1176" s="13">
        <f t="shared" si="18"/>
        <v>3.8740785221350028E-3</v>
      </c>
      <c r="G1176" s="4"/>
    </row>
    <row r="1177" spans="1:7" x14ac:dyDescent="0.3">
      <c r="A1177" s="25">
        <v>44382</v>
      </c>
      <c r="B1177" s="13">
        <v>1394.35</v>
      </c>
      <c r="C1177" s="13">
        <f>VLOOKUP(A:A,'Nifty 50 '!$A:$B,2,0)</f>
        <v>15834.35</v>
      </c>
      <c r="D1177" s="13">
        <f t="shared" si="18"/>
        <v>1.4559821484998372E-2</v>
      </c>
      <c r="E1177" s="13">
        <f t="shared" si="18"/>
        <v>-1.0172940856974727E-3</v>
      </c>
      <c r="G1177" s="4"/>
    </row>
    <row r="1178" spans="1:7" x14ac:dyDescent="0.3">
      <c r="A1178" s="25">
        <v>44379</v>
      </c>
      <c r="B1178" s="13">
        <v>1422.05</v>
      </c>
      <c r="C1178" s="13">
        <f>VLOOKUP(A:A,'Nifty 50 '!$A:$B,2,0)</f>
        <v>15722.2</v>
      </c>
      <c r="D1178" s="13">
        <f t="shared" si="18"/>
        <v>-1.9671135642721799E-2</v>
      </c>
      <c r="E1178" s="13">
        <f t="shared" si="18"/>
        <v>7.1079045188818853E-3</v>
      </c>
      <c r="G1178" s="4"/>
    </row>
    <row r="1179" spans="1:7" x14ac:dyDescent="0.3">
      <c r="A1179" s="25">
        <v>44378</v>
      </c>
      <c r="B1179" s="13">
        <v>1490.25</v>
      </c>
      <c r="C1179" s="13">
        <f>VLOOKUP(A:A,'Nifty 50 '!$A:$B,2,0)</f>
        <v>15680</v>
      </c>
      <c r="D1179" s="13">
        <f t="shared" si="18"/>
        <v>-4.684439861098684E-2</v>
      </c>
      <c r="E1179" s="13">
        <f t="shared" si="18"/>
        <v>2.6877113962504966E-3</v>
      </c>
      <c r="G1179" s="4"/>
    </row>
    <row r="1180" spans="1:7" x14ac:dyDescent="0.3">
      <c r="A1180" s="25">
        <v>44377</v>
      </c>
      <c r="B1180" s="13">
        <v>1507.55</v>
      </c>
      <c r="C1180" s="13">
        <f>VLOOKUP(A:A,'Nifty 50 '!$A:$B,2,0)</f>
        <v>15721.5</v>
      </c>
      <c r="D1180" s="13">
        <f t="shared" si="18"/>
        <v>-1.1541925447129375E-2</v>
      </c>
      <c r="E1180" s="13">
        <f t="shared" si="18"/>
        <v>-2.6431873739428875E-3</v>
      </c>
      <c r="G1180" s="4"/>
    </row>
    <row r="1181" spans="1:7" x14ac:dyDescent="0.3">
      <c r="A1181" s="25">
        <v>44376</v>
      </c>
      <c r="B1181" s="13">
        <v>1523.55</v>
      </c>
      <c r="C1181" s="13">
        <f>VLOOKUP(A:A,'Nifty 50 '!$A:$B,2,0)</f>
        <v>15748.45</v>
      </c>
      <c r="D1181" s="13">
        <f t="shared" si="18"/>
        <v>-1.0557321506454453E-2</v>
      </c>
      <c r="E1181" s="13">
        <f t="shared" si="18"/>
        <v>-1.7127454341774183E-3</v>
      </c>
      <c r="G1181" s="4"/>
    </row>
    <row r="1182" spans="1:7" x14ac:dyDescent="0.3">
      <c r="A1182" s="25">
        <v>44375</v>
      </c>
      <c r="B1182" s="13">
        <v>1525.75</v>
      </c>
      <c r="C1182" s="13">
        <f>VLOOKUP(A:A,'Nifty 50 '!$A:$B,2,0)</f>
        <v>15814.7</v>
      </c>
      <c r="D1182" s="13">
        <f t="shared" si="18"/>
        <v>-1.4429543709845206E-3</v>
      </c>
      <c r="E1182" s="13">
        <f t="shared" si="18"/>
        <v>-4.197939514398237E-3</v>
      </c>
      <c r="G1182" s="4"/>
    </row>
    <row r="1183" spans="1:7" x14ac:dyDescent="0.3">
      <c r="A1183" s="25">
        <v>44372</v>
      </c>
      <c r="B1183" s="13">
        <v>1519.45</v>
      </c>
      <c r="C1183" s="13">
        <f>VLOOKUP(A:A,'Nifty 50 '!$A:$B,2,0)</f>
        <v>15860.35</v>
      </c>
      <c r="D1183" s="13">
        <f t="shared" si="18"/>
        <v>4.1376651701962655E-3</v>
      </c>
      <c r="E1183" s="13">
        <f t="shared" si="18"/>
        <v>-2.8823968142633397E-3</v>
      </c>
      <c r="G1183" s="4"/>
    </row>
    <row r="1184" spans="1:7" x14ac:dyDescent="0.3">
      <c r="A1184" s="25">
        <v>44371</v>
      </c>
      <c r="B1184" s="13">
        <v>1508.5</v>
      </c>
      <c r="C1184" s="13">
        <f>VLOOKUP(A:A,'Nifty 50 '!$A:$B,2,0)</f>
        <v>15790.45</v>
      </c>
      <c r="D1184" s="13">
        <f t="shared" si="18"/>
        <v>7.2326476552924505E-3</v>
      </c>
      <c r="E1184" s="13">
        <f t="shared" si="18"/>
        <v>4.4169571475514277E-3</v>
      </c>
      <c r="G1184" s="4"/>
    </row>
    <row r="1185" spans="1:7" x14ac:dyDescent="0.3">
      <c r="A1185" s="25">
        <v>44370</v>
      </c>
      <c r="B1185" s="13">
        <v>1504.75</v>
      </c>
      <c r="C1185" s="13">
        <f>VLOOKUP(A:A,'Nifty 50 '!$A:$B,2,0)</f>
        <v>15686.95</v>
      </c>
      <c r="D1185" s="13">
        <f t="shared" si="18"/>
        <v>2.4890081712355644E-3</v>
      </c>
      <c r="E1185" s="13">
        <f t="shared" si="18"/>
        <v>6.5761703950533955E-3</v>
      </c>
      <c r="G1185" s="4"/>
    </row>
    <row r="1186" spans="1:7" x14ac:dyDescent="0.3">
      <c r="A1186" s="25">
        <v>44369</v>
      </c>
      <c r="B1186" s="13">
        <v>1541.6</v>
      </c>
      <c r="C1186" s="13">
        <f>VLOOKUP(A:A,'Nifty 50 '!$A:$B,2,0)</f>
        <v>15772.75</v>
      </c>
      <c r="D1186" s="13">
        <f t="shared" si="18"/>
        <v>-2.4194066672276329E-2</v>
      </c>
      <c r="E1186" s="13">
        <f t="shared" si="18"/>
        <v>-5.4546109932566283E-3</v>
      </c>
      <c r="G1186" s="4"/>
    </row>
    <row r="1187" spans="1:7" x14ac:dyDescent="0.3">
      <c r="A1187" s="25">
        <v>44368</v>
      </c>
      <c r="B1187" s="13">
        <v>1540</v>
      </c>
      <c r="C1187" s="13">
        <f>VLOOKUP(A:A,'Nifty 50 '!$A:$B,2,0)</f>
        <v>15746.5</v>
      </c>
      <c r="D1187" s="13">
        <f t="shared" si="18"/>
        <v>1.038421692481704E-3</v>
      </c>
      <c r="E1187" s="13">
        <f t="shared" si="18"/>
        <v>1.6656491552922152E-3</v>
      </c>
      <c r="G1187" s="4"/>
    </row>
    <row r="1188" spans="1:7" x14ac:dyDescent="0.3">
      <c r="A1188" s="25">
        <v>44365</v>
      </c>
      <c r="B1188" s="13">
        <v>1487.5</v>
      </c>
      <c r="C1188" s="13">
        <f>VLOOKUP(A:A,'Nifty 50 '!$A:$B,2,0)</f>
        <v>15683.35</v>
      </c>
      <c r="D1188" s="13">
        <f t="shared" si="18"/>
        <v>3.4685557987890109E-2</v>
      </c>
      <c r="E1188" s="13">
        <f t="shared" si="18"/>
        <v>4.0184782924328364E-3</v>
      </c>
      <c r="G1188" s="4"/>
    </row>
    <row r="1189" spans="1:7" x14ac:dyDescent="0.3">
      <c r="A1189" s="25">
        <v>44364</v>
      </c>
      <c r="B1189" s="13">
        <v>1367.7</v>
      </c>
      <c r="C1189" s="13">
        <f>VLOOKUP(A:A,'Nifty 50 '!$A:$B,2,0)</f>
        <v>15691.4</v>
      </c>
      <c r="D1189" s="13">
        <f t="shared" si="18"/>
        <v>8.3966361532279474E-2</v>
      </c>
      <c r="E1189" s="13">
        <f t="shared" si="18"/>
        <v>-5.1315151047548523E-4</v>
      </c>
      <c r="G1189" s="4"/>
    </row>
    <row r="1190" spans="1:7" x14ac:dyDescent="0.3">
      <c r="A1190" s="25">
        <v>44363</v>
      </c>
      <c r="B1190" s="13">
        <v>1448.3</v>
      </c>
      <c r="C1190" s="13">
        <f>VLOOKUP(A:A,'Nifty 50 '!$A:$B,2,0)</f>
        <v>15767.55</v>
      </c>
      <c r="D1190" s="13">
        <f t="shared" si="18"/>
        <v>-5.7259957919305222E-2</v>
      </c>
      <c r="E1190" s="13">
        <f t="shared" si="18"/>
        <v>-4.8412390579480827E-3</v>
      </c>
      <c r="G1190" s="4"/>
    </row>
    <row r="1191" spans="1:7" x14ac:dyDescent="0.3">
      <c r="A1191" s="25">
        <v>44362</v>
      </c>
      <c r="B1191" s="13">
        <v>1538.85</v>
      </c>
      <c r="C1191" s="13">
        <f>VLOOKUP(A:A,'Nifty 50 '!$A:$B,2,0)</f>
        <v>15869.25</v>
      </c>
      <c r="D1191" s="13">
        <f t="shared" si="18"/>
        <v>-6.064492939502078E-2</v>
      </c>
      <c r="E1191" s="13">
        <f t="shared" si="18"/>
        <v>-6.4292438119768949E-3</v>
      </c>
      <c r="G1191" s="4"/>
    </row>
    <row r="1192" spans="1:7" x14ac:dyDescent="0.3">
      <c r="A1192" s="25">
        <v>44361</v>
      </c>
      <c r="B1192" s="13">
        <v>1501.45</v>
      </c>
      <c r="C1192" s="13">
        <f>VLOOKUP(A:A,'Nifty 50 '!$A:$B,2,0)</f>
        <v>15811.85</v>
      </c>
      <c r="D1192" s="13">
        <f t="shared" si="18"/>
        <v>2.4604076366204857E-2</v>
      </c>
      <c r="E1192" s="13">
        <f t="shared" si="18"/>
        <v>3.6236155189037843E-3</v>
      </c>
      <c r="G1192" s="4"/>
    </row>
    <row r="1193" spans="1:7" x14ac:dyDescent="0.3">
      <c r="A1193" s="25">
        <v>44358</v>
      </c>
      <c r="B1193" s="13">
        <v>1601.6</v>
      </c>
      <c r="C1193" s="13">
        <f>VLOOKUP(A:A,'Nifty 50 '!$A:$B,2,0)</f>
        <v>15799.35</v>
      </c>
      <c r="D1193" s="13">
        <f t="shared" si="18"/>
        <v>-6.4571821725329534E-2</v>
      </c>
      <c r="E1193" s="13">
        <f t="shared" si="18"/>
        <v>7.9085897729400882E-4</v>
      </c>
      <c r="G1193" s="4"/>
    </row>
    <row r="1194" spans="1:7" x14ac:dyDescent="0.3">
      <c r="A1194" s="25">
        <v>44357</v>
      </c>
      <c r="B1194" s="13">
        <v>1612</v>
      </c>
      <c r="C1194" s="13">
        <f>VLOOKUP(A:A,'Nifty 50 '!$A:$B,2,0)</f>
        <v>15737.75</v>
      </c>
      <c r="D1194" s="13">
        <f t="shared" si="18"/>
        <v>-6.4725145056174788E-3</v>
      </c>
      <c r="E1194" s="13">
        <f t="shared" si="18"/>
        <v>3.9065150783718612E-3</v>
      </c>
      <c r="G1194" s="4"/>
    </row>
    <row r="1195" spans="1:7" x14ac:dyDescent="0.3">
      <c r="A1195" s="25">
        <v>44356</v>
      </c>
      <c r="B1195" s="13">
        <v>1594.65</v>
      </c>
      <c r="C1195" s="13">
        <f>VLOOKUP(A:A,'Nifty 50 '!$A:$B,2,0)</f>
        <v>15635.35</v>
      </c>
      <c r="D1195" s="13">
        <f t="shared" si="18"/>
        <v>1.0821367663849731E-2</v>
      </c>
      <c r="E1195" s="13">
        <f t="shared" si="18"/>
        <v>6.5279085353827145E-3</v>
      </c>
      <c r="G1195" s="4"/>
    </row>
    <row r="1196" spans="1:7" x14ac:dyDescent="0.3">
      <c r="A1196" s="25">
        <v>44355</v>
      </c>
      <c r="B1196" s="13">
        <v>1636.45</v>
      </c>
      <c r="C1196" s="13">
        <f>VLOOKUP(A:A,'Nifty 50 '!$A:$B,2,0)</f>
        <v>15740.1</v>
      </c>
      <c r="D1196" s="13">
        <f t="shared" si="18"/>
        <v>-2.5874985062287189E-2</v>
      </c>
      <c r="E1196" s="13">
        <f t="shared" si="18"/>
        <v>-6.6772198768095935E-3</v>
      </c>
      <c r="G1196" s="4"/>
    </row>
    <row r="1197" spans="1:7" x14ac:dyDescent="0.3">
      <c r="A1197" s="25">
        <v>44354</v>
      </c>
      <c r="B1197" s="13">
        <v>1624.3</v>
      </c>
      <c r="C1197" s="13">
        <f>VLOOKUP(A:A,'Nifty 50 '!$A:$B,2,0)</f>
        <v>15751.65</v>
      </c>
      <c r="D1197" s="13">
        <f t="shared" si="18"/>
        <v>7.4523077396610928E-3</v>
      </c>
      <c r="E1197" s="13">
        <f t="shared" si="18"/>
        <v>-7.3352548003090691E-4</v>
      </c>
      <c r="G1197" s="4"/>
    </row>
    <row r="1198" spans="1:7" x14ac:dyDescent="0.3">
      <c r="A1198" s="25">
        <v>44351</v>
      </c>
      <c r="B1198" s="13">
        <v>1700.95</v>
      </c>
      <c r="C1198" s="13">
        <f>VLOOKUP(A:A,'Nifty 50 '!$A:$B,2,0)</f>
        <v>15670.25</v>
      </c>
      <c r="D1198" s="13">
        <f t="shared" si="18"/>
        <v>-4.6109964764646787E-2</v>
      </c>
      <c r="E1198" s="13">
        <f t="shared" si="18"/>
        <v>5.1811113962645268E-3</v>
      </c>
      <c r="G1198" s="4"/>
    </row>
    <row r="1199" spans="1:7" x14ac:dyDescent="0.3">
      <c r="A1199" s="25">
        <v>44350</v>
      </c>
      <c r="B1199" s="13">
        <v>1583.1</v>
      </c>
      <c r="C1199" s="13">
        <f>VLOOKUP(A:A,'Nifty 50 '!$A:$B,2,0)</f>
        <v>15690.35</v>
      </c>
      <c r="D1199" s="13">
        <f t="shared" si="18"/>
        <v>7.1801968410265093E-2</v>
      </c>
      <c r="E1199" s="13">
        <f t="shared" si="18"/>
        <v>-1.2818634051846062E-3</v>
      </c>
      <c r="G1199" s="4"/>
    </row>
    <row r="1200" spans="1:7" x14ac:dyDescent="0.3">
      <c r="A1200" s="25">
        <v>44349</v>
      </c>
      <c r="B1200" s="13">
        <v>1546.75</v>
      </c>
      <c r="C1200" s="13">
        <f>VLOOKUP(A:A,'Nifty 50 '!$A:$B,2,0)</f>
        <v>15576.2</v>
      </c>
      <c r="D1200" s="13">
        <f t="shared" si="18"/>
        <v>2.3228994668633592E-2</v>
      </c>
      <c r="E1200" s="13">
        <f t="shared" si="18"/>
        <v>7.3017654436381392E-3</v>
      </c>
      <c r="G1200" s="4"/>
    </row>
    <row r="1201" spans="1:7" x14ac:dyDescent="0.3">
      <c r="A1201" s="25">
        <v>44348</v>
      </c>
      <c r="B1201" s="13">
        <v>1416.25</v>
      </c>
      <c r="C1201" s="13">
        <f>VLOOKUP(A:A,'Nifty 50 '!$A:$B,2,0)</f>
        <v>15574.85</v>
      </c>
      <c r="D1201" s="13">
        <f t="shared" si="18"/>
        <v>8.8143422068882121E-2</v>
      </c>
      <c r="E1201" s="13">
        <f t="shared" si="18"/>
        <v>8.6674446019981654E-5</v>
      </c>
      <c r="G1201" s="4"/>
    </row>
    <row r="1202" spans="1:7" x14ac:dyDescent="0.3">
      <c r="A1202" s="25">
        <v>44347</v>
      </c>
      <c r="B1202" s="13">
        <v>1316.3</v>
      </c>
      <c r="C1202" s="13">
        <f>VLOOKUP(A:A,'Nifty 50 '!$A:$B,2,0)</f>
        <v>15582.8</v>
      </c>
      <c r="D1202" s="13">
        <f t="shared" si="18"/>
        <v>7.318776291085409E-2</v>
      </c>
      <c r="E1202" s="13">
        <f t="shared" si="18"/>
        <v>-5.1030807346014347E-4</v>
      </c>
      <c r="G1202" s="4"/>
    </row>
    <row r="1203" spans="1:7" x14ac:dyDescent="0.3">
      <c r="A1203" s="25">
        <v>44344</v>
      </c>
      <c r="B1203" s="13">
        <v>1302.5999999999999</v>
      </c>
      <c r="C1203" s="13">
        <f>VLOOKUP(A:A,'Nifty 50 '!$A:$B,2,0)</f>
        <v>15435.65</v>
      </c>
      <c r="D1203" s="13">
        <f t="shared" si="18"/>
        <v>1.0462503319060887E-2</v>
      </c>
      <c r="E1203" s="13">
        <f t="shared" si="18"/>
        <v>9.4879727316188097E-3</v>
      </c>
      <c r="G1203" s="4"/>
    </row>
    <row r="1204" spans="1:7" x14ac:dyDescent="0.3">
      <c r="A1204" s="25">
        <v>44343</v>
      </c>
      <c r="B1204" s="13">
        <v>1325.8</v>
      </c>
      <c r="C1204" s="13">
        <f>VLOOKUP(A:A,'Nifty 50 '!$A:$B,2,0)</f>
        <v>15337.85</v>
      </c>
      <c r="D1204" s="13">
        <f t="shared" si="18"/>
        <v>-1.7653783694990054E-2</v>
      </c>
      <c r="E1204" s="13">
        <f t="shared" si="18"/>
        <v>6.3561394878013074E-3</v>
      </c>
      <c r="G1204" s="4"/>
    </row>
    <row r="1205" spans="1:7" x14ac:dyDescent="0.3">
      <c r="A1205" s="25">
        <v>44342</v>
      </c>
      <c r="B1205" s="13">
        <v>1322.8</v>
      </c>
      <c r="C1205" s="13">
        <f>VLOOKUP(A:A,'Nifty 50 '!$A:$B,2,0)</f>
        <v>15301.45</v>
      </c>
      <c r="D1205" s="13">
        <f t="shared" si="18"/>
        <v>2.2653486996535308E-3</v>
      </c>
      <c r="E1205" s="13">
        <f t="shared" si="18"/>
        <v>2.3760345128514245E-3</v>
      </c>
      <c r="G1205" s="4"/>
    </row>
    <row r="1206" spans="1:7" x14ac:dyDescent="0.3">
      <c r="A1206" s="25">
        <v>44341</v>
      </c>
      <c r="B1206" s="13">
        <v>1282.75</v>
      </c>
      <c r="C1206" s="13">
        <f>VLOOKUP(A:A,'Nifty 50 '!$A:$B,2,0)</f>
        <v>15208.45</v>
      </c>
      <c r="D1206" s="13">
        <f t="shared" si="18"/>
        <v>3.0744491285563526E-2</v>
      </c>
      <c r="E1206" s="13">
        <f t="shared" si="18"/>
        <v>6.0964007117105569E-3</v>
      </c>
      <c r="G1206" s="4"/>
    </row>
    <row r="1207" spans="1:7" x14ac:dyDescent="0.3">
      <c r="A1207" s="25">
        <v>44340</v>
      </c>
      <c r="B1207" s="13">
        <v>1306.8</v>
      </c>
      <c r="C1207" s="13">
        <f>VLOOKUP(A:A,'Nifty 50 '!$A:$B,2,0)</f>
        <v>15197.7</v>
      </c>
      <c r="D1207" s="13">
        <f t="shared" si="18"/>
        <v>-1.8575189904840854E-2</v>
      </c>
      <c r="E1207" s="13">
        <f t="shared" si="18"/>
        <v>7.0709382463091867E-4</v>
      </c>
      <c r="G1207" s="4"/>
    </row>
    <row r="1208" spans="1:7" x14ac:dyDescent="0.3">
      <c r="A1208" s="25">
        <v>44337</v>
      </c>
      <c r="B1208" s="13">
        <v>1315.1</v>
      </c>
      <c r="C1208" s="13">
        <f>VLOOKUP(A:A,'Nifty 50 '!$A:$B,2,0)</f>
        <v>15175.3</v>
      </c>
      <c r="D1208" s="13">
        <f t="shared" si="18"/>
        <v>-6.3313076210040889E-3</v>
      </c>
      <c r="E1208" s="13">
        <f t="shared" si="18"/>
        <v>1.4749945057214828E-3</v>
      </c>
      <c r="G1208" s="4"/>
    </row>
    <row r="1209" spans="1:7" x14ac:dyDescent="0.3">
      <c r="A1209" s="25">
        <v>44336</v>
      </c>
      <c r="B1209" s="13">
        <v>1302</v>
      </c>
      <c r="C1209" s="13">
        <f>VLOOKUP(A:A,'Nifty 50 '!$A:$B,2,0)</f>
        <v>14906.05</v>
      </c>
      <c r="D1209" s="13">
        <f t="shared" si="18"/>
        <v>1.0011164579404581E-2</v>
      </c>
      <c r="E1209" s="13">
        <f t="shared" si="18"/>
        <v>1.7901935299818986E-2</v>
      </c>
      <c r="G1209" s="4"/>
    </row>
    <row r="1210" spans="1:7" x14ac:dyDescent="0.3">
      <c r="A1210" s="25">
        <v>44335</v>
      </c>
      <c r="B1210" s="13">
        <v>1294.7</v>
      </c>
      <c r="C1210" s="13">
        <f>VLOOKUP(A:A,'Nifty 50 '!$A:$B,2,0)</f>
        <v>15030.15</v>
      </c>
      <c r="D1210" s="13">
        <f t="shared" si="18"/>
        <v>5.6225357039128938E-3</v>
      </c>
      <c r="E1210" s="13">
        <f t="shared" si="18"/>
        <v>-8.2910129471753299E-3</v>
      </c>
      <c r="G1210" s="4"/>
    </row>
    <row r="1211" spans="1:7" x14ac:dyDescent="0.3">
      <c r="A1211" s="25">
        <v>44334</v>
      </c>
      <c r="B1211" s="13">
        <v>1326.7</v>
      </c>
      <c r="C1211" s="13">
        <f>VLOOKUP(A:A,'Nifty 50 '!$A:$B,2,0)</f>
        <v>15108.1</v>
      </c>
      <c r="D1211" s="13">
        <f t="shared" si="18"/>
        <v>-2.4415647858269475E-2</v>
      </c>
      <c r="E1211" s="13">
        <f t="shared" si="18"/>
        <v>-5.1728400830980811E-3</v>
      </c>
      <c r="G1211" s="4"/>
    </row>
    <row r="1212" spans="1:7" x14ac:dyDescent="0.3">
      <c r="A1212" s="25">
        <v>44333</v>
      </c>
      <c r="B1212" s="13">
        <v>1289.0999999999999</v>
      </c>
      <c r="C1212" s="13">
        <f>VLOOKUP(A:A,'Nifty 50 '!$A:$B,2,0)</f>
        <v>14923.15</v>
      </c>
      <c r="D1212" s="13">
        <f t="shared" si="18"/>
        <v>2.8750355473812009E-2</v>
      </c>
      <c r="E1212" s="13">
        <f t="shared" si="18"/>
        <v>1.2317325341082912E-2</v>
      </c>
      <c r="G1212" s="4"/>
    </row>
    <row r="1213" spans="1:7" x14ac:dyDescent="0.3">
      <c r="A1213" s="25">
        <v>44330</v>
      </c>
      <c r="B1213" s="13">
        <v>1220.3499999999999</v>
      </c>
      <c r="C1213" s="13">
        <f>VLOOKUP(A:A,'Nifty 50 '!$A:$B,2,0)</f>
        <v>14677.8</v>
      </c>
      <c r="D1213" s="13">
        <f t="shared" si="18"/>
        <v>5.4806597619558611E-2</v>
      </c>
      <c r="E1213" s="13">
        <f t="shared" si="18"/>
        <v>1.6577550301561973E-2</v>
      </c>
      <c r="G1213" s="4"/>
    </row>
    <row r="1214" spans="1:7" x14ac:dyDescent="0.3">
      <c r="A1214" s="25">
        <v>44328</v>
      </c>
      <c r="B1214" s="13">
        <v>1285.8</v>
      </c>
      <c r="C1214" s="13">
        <f>VLOOKUP(A:A,'Nifty 50 '!$A:$B,2,0)</f>
        <v>14696.5</v>
      </c>
      <c r="D1214" s="13">
        <f t="shared" si="18"/>
        <v>-5.2243389878085841E-2</v>
      </c>
      <c r="E1214" s="13">
        <f t="shared" si="18"/>
        <v>-1.2732220019680827E-3</v>
      </c>
      <c r="G1214" s="4"/>
    </row>
    <row r="1215" spans="1:7" x14ac:dyDescent="0.3">
      <c r="A1215" s="25">
        <v>44327</v>
      </c>
      <c r="B1215" s="13">
        <v>1303.5</v>
      </c>
      <c r="C1215" s="13">
        <f>VLOOKUP(A:A,'Nifty 50 '!$A:$B,2,0)</f>
        <v>14850.75</v>
      </c>
      <c r="D1215" s="13">
        <f t="shared" si="18"/>
        <v>-1.3671861665970087E-2</v>
      </c>
      <c r="E1215" s="13">
        <f t="shared" si="18"/>
        <v>-1.0440998826452301E-2</v>
      </c>
      <c r="G1215" s="4"/>
    </row>
    <row r="1216" spans="1:7" x14ac:dyDescent="0.3">
      <c r="A1216" s="25">
        <v>44326</v>
      </c>
      <c r="B1216" s="13">
        <v>1304.0999999999999</v>
      </c>
      <c r="C1216" s="13">
        <f>VLOOKUP(A:A,'Nifty 50 '!$A:$B,2,0)</f>
        <v>14942.35</v>
      </c>
      <c r="D1216" s="13">
        <f t="shared" si="18"/>
        <v>-4.6019328929957997E-4</v>
      </c>
      <c r="E1216" s="13">
        <f t="shared" si="18"/>
        <v>-6.1490941611665332E-3</v>
      </c>
      <c r="G1216" s="4"/>
    </row>
    <row r="1217" spans="1:7" x14ac:dyDescent="0.3">
      <c r="A1217" s="25">
        <v>44323</v>
      </c>
      <c r="B1217" s="13">
        <v>1298.9000000000001</v>
      </c>
      <c r="C1217" s="13">
        <f>VLOOKUP(A:A,'Nifty 50 '!$A:$B,2,0)</f>
        <v>14823.15</v>
      </c>
      <c r="D1217" s="13">
        <f t="shared" si="18"/>
        <v>3.9953952496176249E-3</v>
      </c>
      <c r="E1217" s="13">
        <f t="shared" si="18"/>
        <v>8.0093152954948815E-3</v>
      </c>
      <c r="G1217" s="4"/>
    </row>
    <row r="1218" spans="1:7" x14ac:dyDescent="0.3">
      <c r="A1218" s="25">
        <v>44322</v>
      </c>
      <c r="B1218" s="13">
        <v>1286.75</v>
      </c>
      <c r="C1218" s="13">
        <f>VLOOKUP(A:A,'Nifty 50 '!$A:$B,2,0)</f>
        <v>14724.8</v>
      </c>
      <c r="D1218" s="13">
        <f t="shared" si="18"/>
        <v>9.3980928803744177E-3</v>
      </c>
      <c r="E1218" s="13">
        <f t="shared" si="18"/>
        <v>6.6570007870929496E-3</v>
      </c>
      <c r="G1218" s="4"/>
    </row>
    <row r="1219" spans="1:7" x14ac:dyDescent="0.3">
      <c r="A1219" s="25">
        <v>44321</v>
      </c>
      <c r="B1219" s="13">
        <v>1267.5</v>
      </c>
      <c r="C1219" s="13">
        <f>VLOOKUP(A:A,'Nifty 50 '!$A:$B,2,0)</f>
        <v>14617.85</v>
      </c>
      <c r="D1219" s="13">
        <f t="shared" si="18"/>
        <v>1.5073203067525775E-2</v>
      </c>
      <c r="E1219" s="13">
        <f t="shared" si="18"/>
        <v>7.2897624185612698E-3</v>
      </c>
      <c r="G1219" s="4"/>
    </row>
    <row r="1220" spans="1:7" x14ac:dyDescent="0.3">
      <c r="A1220" s="25">
        <v>44320</v>
      </c>
      <c r="B1220" s="13">
        <v>1262.5</v>
      </c>
      <c r="C1220" s="13">
        <f>VLOOKUP(A:A,'Nifty 50 '!$A:$B,2,0)</f>
        <v>14496.5</v>
      </c>
      <c r="D1220" s="13">
        <f t="shared" ref="D1220:E1240" si="19">LN(B1219/B1220)</f>
        <v>3.9525743158233418E-3</v>
      </c>
      <c r="E1220" s="13">
        <f t="shared" si="19"/>
        <v>8.3361437043846104E-3</v>
      </c>
      <c r="G1220" s="4"/>
    </row>
    <row r="1221" spans="1:7" x14ac:dyDescent="0.3">
      <c r="A1221" s="25">
        <v>44319</v>
      </c>
      <c r="B1221" s="13">
        <v>1255.55</v>
      </c>
      <c r="C1221" s="13">
        <f>VLOOKUP(A:A,'Nifty 50 '!$A:$B,2,0)</f>
        <v>14634.15</v>
      </c>
      <c r="D1221" s="13">
        <f t="shared" si="19"/>
        <v>5.5201585738528401E-3</v>
      </c>
      <c r="E1221" s="13">
        <f t="shared" si="19"/>
        <v>-9.4505975322978809E-3</v>
      </c>
      <c r="G1221" s="4"/>
    </row>
    <row r="1222" spans="1:7" x14ac:dyDescent="0.3">
      <c r="A1222" s="25">
        <v>44316</v>
      </c>
      <c r="B1222" s="13">
        <v>1158.7</v>
      </c>
      <c r="C1222" s="13">
        <f>VLOOKUP(A:A,'Nifty 50 '!$A:$B,2,0)</f>
        <v>14631.1</v>
      </c>
      <c r="D1222" s="13">
        <f t="shared" si="19"/>
        <v>8.027503657264537E-2</v>
      </c>
      <c r="E1222" s="13">
        <f t="shared" si="19"/>
        <v>2.0843833632333135E-4</v>
      </c>
      <c r="G1222" s="4"/>
    </row>
    <row r="1223" spans="1:7" x14ac:dyDescent="0.3">
      <c r="A1223" s="25">
        <v>44315</v>
      </c>
      <c r="B1223" s="13">
        <v>1182.3</v>
      </c>
      <c r="C1223" s="13">
        <f>VLOOKUP(A:A,'Nifty 50 '!$A:$B,2,0)</f>
        <v>14894.9</v>
      </c>
      <c r="D1223" s="13">
        <f t="shared" si="19"/>
        <v>-2.0163006866051009E-2</v>
      </c>
      <c r="E1223" s="13">
        <f t="shared" si="19"/>
        <v>-1.7869472304921995E-2</v>
      </c>
      <c r="G1223" s="4"/>
    </row>
    <row r="1224" spans="1:7" x14ac:dyDescent="0.3">
      <c r="A1224" s="25">
        <v>44314</v>
      </c>
      <c r="B1224" s="13">
        <v>1185.2</v>
      </c>
      <c r="C1224" s="13">
        <f>VLOOKUP(A:A,'Nifty 50 '!$A:$B,2,0)</f>
        <v>14864.55</v>
      </c>
      <c r="D1224" s="13">
        <f t="shared" si="19"/>
        <v>-2.4498428303425333E-3</v>
      </c>
      <c r="E1224" s="13">
        <f t="shared" si="19"/>
        <v>2.0396889406337029E-3</v>
      </c>
      <c r="G1224" s="4"/>
    </row>
    <row r="1225" spans="1:7" x14ac:dyDescent="0.3">
      <c r="A1225" s="25">
        <v>44313</v>
      </c>
      <c r="B1225" s="13">
        <v>1191.1500000000001</v>
      </c>
      <c r="C1225" s="13">
        <f>VLOOKUP(A:A,'Nifty 50 '!$A:$B,2,0)</f>
        <v>14653.05</v>
      </c>
      <c r="D1225" s="13">
        <f t="shared" si="19"/>
        <v>-5.0076903099195253E-3</v>
      </c>
      <c r="E1225" s="13">
        <f t="shared" si="19"/>
        <v>1.4330678619181423E-2</v>
      </c>
      <c r="G1225" s="4"/>
    </row>
    <row r="1226" spans="1:7" x14ac:dyDescent="0.3">
      <c r="A1226" s="25">
        <v>44312</v>
      </c>
      <c r="B1226" s="13">
        <v>1173.3499999999999</v>
      </c>
      <c r="C1226" s="13">
        <f>VLOOKUP(A:A,'Nifty 50 '!$A:$B,2,0)</f>
        <v>14485</v>
      </c>
      <c r="D1226" s="13">
        <f t="shared" si="19"/>
        <v>1.505632164072577E-2</v>
      </c>
      <c r="E1226" s="13">
        <f t="shared" si="19"/>
        <v>1.1534873699277236E-2</v>
      </c>
      <c r="G1226" s="4"/>
    </row>
    <row r="1227" spans="1:7" x14ac:dyDescent="0.3">
      <c r="A1227" s="25">
        <v>44309</v>
      </c>
      <c r="B1227" s="13">
        <v>1157.5999999999999</v>
      </c>
      <c r="C1227" s="13">
        <f>VLOOKUP(A:A,'Nifty 50 '!$A:$B,2,0)</f>
        <v>14341.35</v>
      </c>
      <c r="D1227" s="13">
        <f t="shared" si="19"/>
        <v>1.3514009051329857E-2</v>
      </c>
      <c r="E1227" s="13">
        <f t="shared" si="19"/>
        <v>9.9666582215295584E-3</v>
      </c>
      <c r="G1227" s="4"/>
    </row>
    <row r="1228" spans="1:7" x14ac:dyDescent="0.3">
      <c r="A1228" s="25">
        <v>44308</v>
      </c>
      <c r="B1228" s="13">
        <v>1157.8</v>
      </c>
      <c r="C1228" s="13">
        <f>VLOOKUP(A:A,'Nifty 50 '!$A:$B,2,0)</f>
        <v>14406.15</v>
      </c>
      <c r="D1228" s="13">
        <f t="shared" si="19"/>
        <v>-1.7275632763021152E-4</v>
      </c>
      <c r="E1228" s="13">
        <f t="shared" si="19"/>
        <v>-4.5082257413756278E-3</v>
      </c>
      <c r="G1228" s="4"/>
    </row>
    <row r="1229" spans="1:7" x14ac:dyDescent="0.3">
      <c r="A1229" s="25">
        <v>44306</v>
      </c>
      <c r="B1229" s="13">
        <v>1142.75</v>
      </c>
      <c r="C1229" s="13">
        <f>VLOOKUP(A:A,'Nifty 50 '!$A:$B,2,0)</f>
        <v>14296.4</v>
      </c>
      <c r="D1229" s="13">
        <f t="shared" si="19"/>
        <v>1.3084014433050409E-2</v>
      </c>
      <c r="E1229" s="13">
        <f t="shared" si="19"/>
        <v>7.6474414209569321E-3</v>
      </c>
      <c r="G1229" s="4"/>
    </row>
    <row r="1230" spans="1:7" x14ac:dyDescent="0.3">
      <c r="A1230" s="25">
        <v>44305</v>
      </c>
      <c r="B1230" s="13">
        <v>1136.3499999999999</v>
      </c>
      <c r="C1230" s="13">
        <f>VLOOKUP(A:A,'Nifty 50 '!$A:$B,2,0)</f>
        <v>14359.45</v>
      </c>
      <c r="D1230" s="13">
        <f t="shared" si="19"/>
        <v>5.6162667918325197E-3</v>
      </c>
      <c r="E1230" s="13">
        <f t="shared" si="19"/>
        <v>-4.4005047307249922E-3</v>
      </c>
      <c r="G1230" s="4"/>
    </row>
    <row r="1231" spans="1:7" x14ac:dyDescent="0.3">
      <c r="A1231" s="25">
        <v>44302</v>
      </c>
      <c r="B1231" s="13">
        <v>1159</v>
      </c>
      <c r="C1231" s="13">
        <f>VLOOKUP(A:A,'Nifty 50 '!$A:$B,2,0)</f>
        <v>14617.85</v>
      </c>
      <c r="D1231" s="13">
        <f t="shared" si="19"/>
        <v>-1.9736192919730368E-2</v>
      </c>
      <c r="E1231" s="13">
        <f t="shared" si="19"/>
        <v>-1.7835122632966233E-2</v>
      </c>
      <c r="G1231" s="4"/>
    </row>
    <row r="1232" spans="1:7" x14ac:dyDescent="0.3">
      <c r="A1232" s="25">
        <v>44301</v>
      </c>
      <c r="B1232" s="13">
        <v>1129.95</v>
      </c>
      <c r="C1232" s="13">
        <f>VLOOKUP(A:A,'Nifty 50 '!$A:$B,2,0)</f>
        <v>14581.45</v>
      </c>
      <c r="D1232" s="13">
        <f t="shared" si="19"/>
        <v>2.5384180399938335E-2</v>
      </c>
      <c r="E1232" s="13">
        <f t="shared" si="19"/>
        <v>2.4932117451798913E-3</v>
      </c>
      <c r="G1232" s="4"/>
    </row>
    <row r="1233" spans="1:7" x14ac:dyDescent="0.3">
      <c r="A1233" s="25">
        <v>44299</v>
      </c>
      <c r="B1233" s="13">
        <v>1106.3499999999999</v>
      </c>
      <c r="C1233" s="13">
        <f>VLOOKUP(A:A,'Nifty 50 '!$A:$B,2,0)</f>
        <v>14504.8</v>
      </c>
      <c r="D1233" s="13">
        <f t="shared" si="19"/>
        <v>2.110707522287357E-2</v>
      </c>
      <c r="E1233" s="13">
        <f t="shared" si="19"/>
        <v>5.2705438092521557E-3</v>
      </c>
      <c r="G1233" s="4"/>
    </row>
    <row r="1234" spans="1:7" x14ac:dyDescent="0.3">
      <c r="A1234" s="25">
        <v>44298</v>
      </c>
      <c r="B1234" s="13">
        <v>1074.4000000000001</v>
      </c>
      <c r="C1234" s="13">
        <f>VLOOKUP(A:A,'Nifty 50 '!$A:$B,2,0)</f>
        <v>14310.8</v>
      </c>
      <c r="D1234" s="13">
        <f t="shared" si="19"/>
        <v>2.9303942507912139E-2</v>
      </c>
      <c r="E1234" s="13">
        <f t="shared" si="19"/>
        <v>1.346513216216128E-2</v>
      </c>
      <c r="G1234" s="4"/>
    </row>
    <row r="1235" spans="1:7" x14ac:dyDescent="0.3">
      <c r="A1235" s="25">
        <v>44295</v>
      </c>
      <c r="B1235" s="13">
        <v>1201.4000000000001</v>
      </c>
      <c r="C1235" s="13">
        <f>VLOOKUP(A:A,'Nifty 50 '!$A:$B,2,0)</f>
        <v>14834.85</v>
      </c>
      <c r="D1235" s="13">
        <f t="shared" si="19"/>
        <v>-0.11172517720703326</v>
      </c>
      <c r="E1235" s="13">
        <f t="shared" si="19"/>
        <v>-3.5964645500907659E-2</v>
      </c>
      <c r="G1235" s="4"/>
    </row>
    <row r="1236" spans="1:7" x14ac:dyDescent="0.3">
      <c r="A1236" s="25">
        <v>44294</v>
      </c>
      <c r="B1236" s="13">
        <v>1162.5</v>
      </c>
      <c r="C1236" s="13">
        <f>VLOOKUP(A:A,'Nifty 50 '!$A:$B,2,0)</f>
        <v>14873.8</v>
      </c>
      <c r="D1236" s="13">
        <f t="shared" si="19"/>
        <v>3.2914684954549751E-2</v>
      </c>
      <c r="E1236" s="13">
        <f t="shared" si="19"/>
        <v>-2.6221334403949922E-3</v>
      </c>
      <c r="G1236" s="4"/>
    </row>
    <row r="1237" spans="1:7" x14ac:dyDescent="0.3">
      <c r="A1237" s="25">
        <v>44293</v>
      </c>
      <c r="B1237" s="13">
        <v>1165.55</v>
      </c>
      <c r="C1237" s="13">
        <f>VLOOKUP(A:A,'Nifty 50 '!$A:$B,2,0)</f>
        <v>14819.05</v>
      </c>
      <c r="D1237" s="13">
        <f t="shared" si="19"/>
        <v>-2.6202201370198906E-3</v>
      </c>
      <c r="E1237" s="13">
        <f t="shared" si="19"/>
        <v>3.6877606594222893E-3</v>
      </c>
      <c r="G1237" s="4"/>
    </row>
    <row r="1238" spans="1:7" x14ac:dyDescent="0.3">
      <c r="A1238" s="25">
        <v>44292</v>
      </c>
      <c r="B1238" s="13">
        <v>1225.4000000000001</v>
      </c>
      <c r="C1238" s="13">
        <f>VLOOKUP(A:A,'Nifty 50 '!$A:$B,2,0)</f>
        <v>14683.5</v>
      </c>
      <c r="D1238" s="13">
        <f t="shared" si="19"/>
        <v>-5.0074242693022991E-2</v>
      </c>
      <c r="E1238" s="13">
        <f t="shared" si="19"/>
        <v>9.1891008617233753E-3</v>
      </c>
      <c r="G1238" s="4"/>
    </row>
    <row r="1239" spans="1:7" x14ac:dyDescent="0.3">
      <c r="A1239" s="25">
        <v>44291</v>
      </c>
      <c r="B1239" s="13">
        <v>1138.25</v>
      </c>
      <c r="C1239" s="13">
        <f>VLOOKUP(A:A,'Nifty 50 '!$A:$B,2,0)</f>
        <v>14637.8</v>
      </c>
      <c r="D1239" s="13">
        <f t="shared" si="19"/>
        <v>7.3775326076662817E-2</v>
      </c>
      <c r="E1239" s="13">
        <f t="shared" si="19"/>
        <v>3.1171903704882375E-3</v>
      </c>
      <c r="G1239" s="4"/>
    </row>
    <row r="1240" spans="1:7" x14ac:dyDescent="0.3">
      <c r="A1240" s="25">
        <v>44287</v>
      </c>
      <c r="B1240" s="13">
        <v>1107.2</v>
      </c>
      <c r="C1240" s="13">
        <f>VLOOKUP(A:A,'Nifty 50 '!$A:$B,2,0)</f>
        <v>14867.35</v>
      </c>
      <c r="D1240" s="13">
        <f t="shared" si="19"/>
        <v>2.76576893514862E-2</v>
      </c>
      <c r="E1240" s="13">
        <f t="shared" si="19"/>
        <v>-1.5560309410181656E-2</v>
      </c>
      <c r="G1240" s="4"/>
    </row>
  </sheetData>
  <mergeCells count="1">
    <mergeCell ref="D1:E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B9467-13B9-408F-AE5D-013DF16A72CB}">
  <dimension ref="A1:H6"/>
  <sheetViews>
    <sheetView workbookViewId="0">
      <selection activeCell="A3" sqref="A3:H4"/>
    </sheetView>
  </sheetViews>
  <sheetFormatPr defaultRowHeight="14.4" x14ac:dyDescent="0.3"/>
  <cols>
    <col min="2" max="3" width="11.33203125" bestFit="1" customWidth="1"/>
    <col min="5" max="5" width="10.5546875" bestFit="1" customWidth="1"/>
    <col min="6" max="6" width="10.6640625" bestFit="1" customWidth="1"/>
    <col min="7" max="7" width="8.44140625" bestFit="1" customWidth="1"/>
    <col min="8" max="8" width="9" bestFit="1" customWidth="1"/>
  </cols>
  <sheetData>
    <row r="1" spans="1:8" x14ac:dyDescent="0.3">
      <c r="A1" s="47" t="s">
        <v>1302</v>
      </c>
      <c r="B1" s="47"/>
      <c r="C1" s="47"/>
      <c r="D1" s="47"/>
      <c r="E1" s="47"/>
      <c r="F1" s="47"/>
      <c r="G1" s="47"/>
      <c r="H1" s="47"/>
    </row>
    <row r="3" spans="1:8" x14ac:dyDescent="0.3">
      <c r="A3" s="29"/>
      <c r="B3" s="37" t="s">
        <v>80</v>
      </c>
      <c r="C3" s="37" t="s">
        <v>79</v>
      </c>
      <c r="D3" s="37" t="s">
        <v>78</v>
      </c>
      <c r="E3" s="38" t="s">
        <v>77</v>
      </c>
      <c r="F3" s="38" t="s">
        <v>76</v>
      </c>
      <c r="G3" s="37" t="s">
        <v>75</v>
      </c>
      <c r="H3" s="38" t="s">
        <v>74</v>
      </c>
    </row>
    <row r="4" spans="1:8" x14ac:dyDescent="0.3">
      <c r="A4" s="39" t="s">
        <v>73</v>
      </c>
      <c r="B4" s="20">
        <f>'Balance Sheet'!F4+'Balance Sheet'!F5</f>
        <v>50313.97</v>
      </c>
      <c r="C4">
        <f>'Raw Financial Data'!K90*'Raw Financial Data'!K70/10000000</f>
        <v>259128.57800997701</v>
      </c>
      <c r="D4" s="4">
        <f>'Beta Analysis'!I8</f>
        <v>9.5146106834640393E-2</v>
      </c>
      <c r="E4" s="18">
        <f>B4/B6</f>
        <v>0.3539918276624297</v>
      </c>
      <c r="F4" s="18">
        <f>C4/C6</f>
        <v>0.73836797494597495</v>
      </c>
      <c r="G4" s="17">
        <f>D4*E4</f>
        <v>3.3680944253359144E-2</v>
      </c>
      <c r="H4" s="17">
        <f>D4*F4</f>
        <v>7.0252838227486819E-2</v>
      </c>
    </row>
    <row r="5" spans="1:8" x14ac:dyDescent="0.3">
      <c r="A5" s="39" t="s">
        <v>72</v>
      </c>
      <c r="B5" s="20">
        <f>'Balance Sheet'!F6</f>
        <v>91819.17</v>
      </c>
      <c r="C5" s="20">
        <f>B5</f>
        <v>91819.17</v>
      </c>
      <c r="D5" s="4">
        <f>'Cost Of Debt Analysis'!G9</f>
        <v>1.8333815987128351E-2</v>
      </c>
      <c r="E5" s="18">
        <f>B5/B6</f>
        <v>0.64600817233757013</v>
      </c>
      <c r="F5" s="18">
        <f>C5/C6</f>
        <v>0.26163202505402511</v>
      </c>
      <c r="G5" s="17">
        <f>D5*E5</f>
        <v>1.1843794957818111E-2</v>
      </c>
      <c r="H5" s="17">
        <f>D5*F5</f>
        <v>4.7967134036802509E-3</v>
      </c>
    </row>
    <row r="6" spans="1:8" x14ac:dyDescent="0.3">
      <c r="B6" s="20">
        <f>SUM(B4:B5)</f>
        <v>142133.14000000001</v>
      </c>
      <c r="C6" s="20">
        <f>SUM(C4:C5)</f>
        <v>350947.74800997699</v>
      </c>
      <c r="E6" s="18">
        <f>SUM(E4:E5)</f>
        <v>0.99999999999999978</v>
      </c>
      <c r="F6" s="18">
        <f>SUM(F4:F5)</f>
        <v>1</v>
      </c>
      <c r="G6" s="21">
        <f>SUM(G4:G5)</f>
        <v>4.5524739211177251E-2</v>
      </c>
      <c r="H6" s="21">
        <f>SUM(H4:H5)</f>
        <v>7.5049551631167069E-2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B93E1-857C-490A-A894-62813D896E15}">
  <dimension ref="A1:D5"/>
  <sheetViews>
    <sheetView topLeftCell="A3" zoomScale="114" workbookViewId="0">
      <selection activeCell="A22" sqref="A22"/>
    </sheetView>
  </sheetViews>
  <sheetFormatPr defaultRowHeight="14.4" x14ac:dyDescent="0.3"/>
  <cols>
    <col min="1" max="1" width="26.21875" customWidth="1"/>
    <col min="2" max="2" width="19.5546875" bestFit="1" customWidth="1"/>
    <col min="3" max="3" width="12.5546875" bestFit="1" customWidth="1"/>
    <col min="4" max="4" width="12.21875" bestFit="1" customWidth="1"/>
  </cols>
  <sheetData>
    <row r="1" spans="1:4" x14ac:dyDescent="0.3">
      <c r="A1" s="47" t="s">
        <v>1303</v>
      </c>
      <c r="B1" s="47"/>
      <c r="C1" s="47"/>
      <c r="D1" s="40"/>
    </row>
    <row r="2" spans="1:4" x14ac:dyDescent="0.3">
      <c r="A2" s="15" t="s">
        <v>34</v>
      </c>
      <c r="B2" s="2">
        <v>118.12</v>
      </c>
    </row>
    <row r="3" spans="1:4" x14ac:dyDescent="0.3">
      <c r="A3" s="16" t="s">
        <v>83</v>
      </c>
      <c r="B3">
        <v>20.8</v>
      </c>
    </row>
    <row r="4" spans="1:4" x14ac:dyDescent="0.3">
      <c r="A4" s="15" t="s">
        <v>82</v>
      </c>
      <c r="B4" s="2">
        <f>B2*B3</f>
        <v>2456.8960000000002</v>
      </c>
    </row>
    <row r="5" spans="1:4" x14ac:dyDescent="0.3">
      <c r="A5" s="15" t="s">
        <v>81</v>
      </c>
      <c r="B5" s="13">
        <v>2425.9</v>
      </c>
      <c r="C5" s="2" t="s">
        <v>87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G28"/>
  <sheetViews>
    <sheetView zoomScaleNormal="100" zoomScaleSheetLayoutView="100" zoomScalePageLayoutView="120" workbookViewId="0">
      <selection sqref="A1:G1"/>
    </sheetView>
  </sheetViews>
  <sheetFormatPr defaultColWidth="8.77734375" defaultRowHeight="14.4" x14ac:dyDescent="0.3"/>
  <cols>
    <col min="1" max="1" width="22.109375" bestFit="1" customWidth="1"/>
    <col min="2" max="2" width="14.77734375" bestFit="1" customWidth="1"/>
    <col min="3" max="6" width="13.44140625" customWidth="1"/>
    <col min="7" max="7" width="9.5546875" bestFit="1" customWidth="1"/>
  </cols>
  <sheetData>
    <row r="1" spans="1:7" s="2" customFormat="1" x14ac:dyDescent="0.3">
      <c r="A1" s="44" t="str">
        <f>'Raw Financial Data'!B1</f>
        <v>ADANI ENTERPRISES LTD .</v>
      </c>
      <c r="B1" s="44"/>
      <c r="C1" s="44"/>
      <c r="D1" s="44"/>
      <c r="E1" s="44"/>
      <c r="F1" s="44"/>
      <c r="G1" s="44"/>
    </row>
    <row r="3" spans="1:7" s="2" customFormat="1" x14ac:dyDescent="0.3">
      <c r="A3" s="41" t="s">
        <v>2</v>
      </c>
      <c r="B3" s="42">
        <f>'Raw Financial Data'!G16</f>
        <v>44286</v>
      </c>
      <c r="C3" s="42">
        <f>'Raw Financial Data'!H16</f>
        <v>44651</v>
      </c>
      <c r="D3" s="42">
        <f>'Raw Financial Data'!I16</f>
        <v>45016</v>
      </c>
      <c r="E3" s="42">
        <f>'Raw Financial Data'!J16</f>
        <v>45382</v>
      </c>
      <c r="F3" s="42">
        <f>'Raw Financial Data'!K16</f>
        <v>45747</v>
      </c>
      <c r="G3" s="41" t="s">
        <v>85</v>
      </c>
    </row>
    <row r="4" spans="1:7" x14ac:dyDescent="0.3">
      <c r="A4" t="s">
        <v>8</v>
      </c>
      <c r="B4" s="5">
        <f>'Raw Financial Data'!G27</f>
        <v>1376.85</v>
      </c>
      <c r="C4" s="5">
        <f>'Raw Financial Data'!H27</f>
        <v>2525.88</v>
      </c>
      <c r="D4" s="5">
        <f>'Raw Financial Data'!I27</f>
        <v>3968.9</v>
      </c>
      <c r="E4" s="5">
        <f>'Raw Financial Data'!J27</f>
        <v>4554.7</v>
      </c>
      <c r="F4" s="5">
        <f>'Raw Financial Data'!K27</f>
        <v>5978.02</v>
      </c>
      <c r="G4">
        <f>AVERAGE(Annual[[#This Row],[Column7]:[Column11]])</f>
        <v>3680.87</v>
      </c>
    </row>
    <row r="5" spans="1:7" x14ac:dyDescent="0.3">
      <c r="A5" t="s">
        <v>9</v>
      </c>
      <c r="B5" s="5">
        <f>'Raw Financial Data'!G28</f>
        <v>1085.97</v>
      </c>
      <c r="C5" s="5">
        <f>'Raw Financial Data'!H28</f>
        <v>952.05</v>
      </c>
      <c r="D5" s="5">
        <f>'Raw Financial Data'!I28</f>
        <v>3246.88</v>
      </c>
      <c r="E5" s="5">
        <f>'Raw Financial Data'!J28</f>
        <v>4926.1400000000003</v>
      </c>
      <c r="F5" s="5">
        <f>'Raw Financial Data'!K28</f>
        <v>10465.780000000001</v>
      </c>
      <c r="G5">
        <f>AVERAGE(Annual[[#This Row],[Column7]:[Column11]])</f>
        <v>4135.3639999999996</v>
      </c>
    </row>
    <row r="6" spans="1:7" x14ac:dyDescent="0.3">
      <c r="A6" t="s">
        <v>10</v>
      </c>
      <c r="B6" s="5">
        <f>'Raw Financial Data'!G29</f>
        <v>339.65</v>
      </c>
      <c r="C6" s="5">
        <f>'Raw Financial Data'!H29</f>
        <v>476.68</v>
      </c>
      <c r="D6" s="5">
        <f>'Raw Financial Data'!I29</f>
        <v>1037.94</v>
      </c>
      <c r="E6" s="5">
        <f>'Raw Financial Data'!J29</f>
        <v>1631.51</v>
      </c>
      <c r="F6" s="5">
        <f>'Raw Financial Data'!K29</f>
        <v>2968.52</v>
      </c>
      <c r="G6">
        <f>AVERAGE(Annual[[#This Row],[Column7]:[Column11]])</f>
        <v>1290.8599999999999</v>
      </c>
    </row>
    <row r="7" spans="1:7" x14ac:dyDescent="0.3">
      <c r="A7" s="2" t="s">
        <v>84</v>
      </c>
      <c r="B7" s="5">
        <f>B6/B5</f>
        <v>0.31276186266655615</v>
      </c>
      <c r="C7" s="5">
        <f t="shared" ref="C7:F7" si="0">C6/C5</f>
        <v>0.50068798907620404</v>
      </c>
      <c r="D7" s="5">
        <f t="shared" si="0"/>
        <v>0.31967303996451979</v>
      </c>
      <c r="E7" s="5">
        <f t="shared" si="0"/>
        <v>0.33119440373192804</v>
      </c>
      <c r="F7" s="5">
        <f t="shared" si="0"/>
        <v>0.28364058866133246</v>
      </c>
      <c r="G7" s="14">
        <f>AVERAGE(Annual[[#This Row],[Column7]:[Column11]])</f>
        <v>0.34959157682010811</v>
      </c>
    </row>
    <row r="8" spans="1:7" x14ac:dyDescent="0.3">
      <c r="A8" t="s">
        <v>42</v>
      </c>
      <c r="B8" s="8">
        <f>'Raw Financial Data'!G61</f>
        <v>51616.72</v>
      </c>
      <c r="C8" s="8">
        <f>'Raw Financial Data'!H61</f>
        <v>101586.36</v>
      </c>
      <c r="D8" s="8">
        <f>'Raw Financial Data'!I61</f>
        <v>141278.48000000001</v>
      </c>
      <c r="E8" s="8">
        <f>'Raw Financial Data'!J61</f>
        <v>160586.23999999999</v>
      </c>
      <c r="F8" s="8">
        <f>'Raw Financial Data'!K61</f>
        <v>197842.88</v>
      </c>
      <c r="G8" s="18">
        <f>AVERAGE(Annual[[#This Row],[Column7]:[Column11]])</f>
        <v>130582.13600000001</v>
      </c>
    </row>
    <row r="9" spans="1:7" x14ac:dyDescent="0.3">
      <c r="A9" s="2" t="s">
        <v>86</v>
      </c>
      <c r="B9" s="5"/>
      <c r="C9" s="5"/>
      <c r="D9" s="5"/>
      <c r="E9" s="5"/>
      <c r="F9" s="5"/>
      <c r="G9" s="19">
        <f>G4*(1-G7)/G8</f>
        <v>1.8333815987128351E-2</v>
      </c>
    </row>
    <row r="10" spans="1:7" x14ac:dyDescent="0.3">
      <c r="A10" s="2"/>
      <c r="B10" s="5"/>
      <c r="C10" s="5"/>
      <c r="D10" s="5"/>
      <c r="E10" s="5"/>
      <c r="F10" s="5"/>
    </row>
    <row r="11" spans="1:7" x14ac:dyDescent="0.3">
      <c r="A11" s="2"/>
      <c r="B11" s="5"/>
      <c r="C11" s="5"/>
      <c r="D11" s="5"/>
      <c r="E11" s="5"/>
      <c r="F11" s="5"/>
    </row>
    <row r="12" spans="1:7" x14ac:dyDescent="0.3">
      <c r="A12" s="2"/>
      <c r="B12" s="5"/>
      <c r="C12" s="5"/>
      <c r="D12" s="5"/>
      <c r="E12" s="5"/>
      <c r="F12" s="5"/>
    </row>
    <row r="13" spans="1:7" x14ac:dyDescent="0.3">
      <c r="A13" s="2"/>
      <c r="B13" s="5"/>
      <c r="C13" s="5"/>
      <c r="D13" s="5"/>
      <c r="E13" s="5"/>
      <c r="F13" s="5"/>
    </row>
    <row r="14" spans="1:7" x14ac:dyDescent="0.3">
      <c r="A14" s="2"/>
      <c r="B14" s="5"/>
      <c r="C14" s="5"/>
      <c r="D14" s="5"/>
      <c r="E14" s="5"/>
      <c r="F14" s="5"/>
    </row>
    <row r="15" spans="1:7" s="2" customFormat="1" x14ac:dyDescent="0.3">
      <c r="B15" s="1"/>
      <c r="C15" s="1"/>
      <c r="D15" s="1"/>
      <c r="E15" s="1"/>
      <c r="F15" s="1"/>
    </row>
    <row r="16" spans="1:7" x14ac:dyDescent="0.3">
      <c r="B16" s="5"/>
      <c r="C16" s="5"/>
      <c r="D16" s="5"/>
      <c r="E16" s="5"/>
      <c r="F16" s="5"/>
    </row>
    <row r="17" spans="1:6" x14ac:dyDescent="0.3">
      <c r="B17" s="5"/>
      <c r="C17" s="5"/>
      <c r="D17" s="5"/>
      <c r="E17" s="5"/>
      <c r="F17" s="5"/>
    </row>
    <row r="18" spans="1:6" s="2" customFormat="1" x14ac:dyDescent="0.3">
      <c r="B18" s="1"/>
      <c r="C18" s="1"/>
      <c r="D18" s="1"/>
      <c r="E18" s="1"/>
      <c r="F18" s="1"/>
    </row>
    <row r="20" spans="1:6" s="2" customFormat="1" x14ac:dyDescent="0.3"/>
    <row r="21" spans="1:6" x14ac:dyDescent="0.3">
      <c r="B21" s="4"/>
      <c r="C21" s="4"/>
      <c r="D21" s="4"/>
      <c r="E21" s="4"/>
      <c r="F21" s="4"/>
    </row>
    <row r="22" spans="1:6" x14ac:dyDescent="0.3">
      <c r="B22" s="4"/>
      <c r="C22" s="4"/>
      <c r="D22" s="4"/>
      <c r="E22" s="4"/>
      <c r="F22" s="4"/>
    </row>
    <row r="23" spans="1:6" x14ac:dyDescent="0.3">
      <c r="B23" s="4"/>
      <c r="C23" s="4"/>
      <c r="D23" s="4"/>
      <c r="E23" s="4"/>
      <c r="F23" s="4"/>
    </row>
    <row r="24" spans="1:6" x14ac:dyDescent="0.3">
      <c r="B24" s="4"/>
      <c r="C24" s="4"/>
      <c r="D24" s="4"/>
      <c r="E24" s="4"/>
      <c r="F24" s="4"/>
    </row>
    <row r="25" spans="1:6" s="2" customFormat="1" x14ac:dyDescent="0.3">
      <c r="A25" s="22"/>
      <c r="B25" s="23"/>
      <c r="C25" s="23"/>
      <c r="D25" s="23"/>
      <c r="E25" s="23"/>
      <c r="F25" s="23"/>
    </row>
    <row r="26" spans="1:6" s="2" customFormat="1" x14ac:dyDescent="0.3">
      <c r="A26"/>
      <c r="B26"/>
      <c r="C26" s="4"/>
      <c r="D26" s="4"/>
      <c r="E26" s="4"/>
      <c r="F26" s="4"/>
    </row>
    <row r="27" spans="1:6" x14ac:dyDescent="0.3">
      <c r="C27" s="4"/>
      <c r="D27" s="4"/>
      <c r="E27" s="4"/>
      <c r="F27" s="4"/>
    </row>
    <row r="28" spans="1:6" x14ac:dyDescent="0.3">
      <c r="C28" s="5"/>
      <c r="D28" s="5"/>
      <c r="E28" s="5"/>
      <c r="F28" s="5"/>
    </row>
  </sheetData>
  <mergeCells count="1">
    <mergeCell ref="A1:G1"/>
  </mergeCells>
  <printOptions gridLines="1"/>
  <pageMargins left="0.7" right="0.7" top="0.75" bottom="0.75" header="0.3" footer="0.3"/>
  <pageSetup paperSize="9" orientation="landscape" horizontalDpi="300" verticalDpi="3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F21"/>
  <sheetViews>
    <sheetView zoomScale="125" workbookViewId="0">
      <selection activeCell="A2" sqref="A2"/>
    </sheetView>
  </sheetViews>
  <sheetFormatPr defaultColWidth="8.77734375" defaultRowHeight="14.4" x14ac:dyDescent="0.3"/>
  <cols>
    <col min="1" max="1" width="22.77734375" bestFit="1" customWidth="1"/>
    <col min="2" max="6" width="15.44140625" customWidth="1"/>
  </cols>
  <sheetData>
    <row r="1" spans="1:6" s="2" customFormat="1" x14ac:dyDescent="0.3">
      <c r="A1" s="41" t="str">
        <f>'Cost Of Debt Analysis'!A1</f>
        <v>ADANI ENTERPRISES LTD .</v>
      </c>
      <c r="B1"/>
      <c r="E1" s="2" t="s">
        <v>1</v>
      </c>
    </row>
    <row r="2" spans="1:6" x14ac:dyDescent="0.3">
      <c r="B2" s="2"/>
      <c r="C2" s="2"/>
    </row>
    <row r="3" spans="1:6" x14ac:dyDescent="0.3">
      <c r="A3" s="41" t="s">
        <v>2</v>
      </c>
      <c r="B3" s="42">
        <f>'Raw Financial Data'!G56</f>
        <v>44286</v>
      </c>
      <c r="C3" s="42">
        <f>'Raw Financial Data'!H56</f>
        <v>44651</v>
      </c>
      <c r="D3" s="42">
        <f>'Raw Financial Data'!I56</f>
        <v>45016</v>
      </c>
      <c r="E3" s="42">
        <f>'Raw Financial Data'!J56</f>
        <v>45382</v>
      </c>
      <c r="F3" s="42">
        <f>'Raw Financial Data'!K56</f>
        <v>45747</v>
      </c>
    </row>
    <row r="4" spans="1:6" x14ac:dyDescent="0.3">
      <c r="A4" t="s">
        <v>12</v>
      </c>
      <c r="B4" s="8">
        <f>'Raw Financial Data'!G57</f>
        <v>109.98</v>
      </c>
      <c r="C4" s="8">
        <f>'Raw Financial Data'!H57</f>
        <v>109.98</v>
      </c>
      <c r="D4" s="8">
        <f>'Raw Financial Data'!I57</f>
        <v>114</v>
      </c>
      <c r="E4" s="8">
        <f>'Raw Financial Data'!J57</f>
        <v>114</v>
      </c>
      <c r="F4" s="8">
        <f>'Raw Financial Data'!K57</f>
        <v>115.42</v>
      </c>
    </row>
    <row r="5" spans="1:6" x14ac:dyDescent="0.3">
      <c r="A5" t="s">
        <v>13</v>
      </c>
      <c r="B5" s="8">
        <f>'Raw Financial Data'!G58</f>
        <v>17048.59</v>
      </c>
      <c r="C5" s="8">
        <f>'Raw Financial Data'!H58</f>
        <v>22146.53</v>
      </c>
      <c r="D5" s="8">
        <f>'Raw Financial Data'!I58</f>
        <v>32937.01</v>
      </c>
      <c r="E5" s="8">
        <f>'Raw Financial Data'!J58</f>
        <v>38962.089999999997</v>
      </c>
      <c r="F5" s="8">
        <f>'Raw Financial Data'!K58</f>
        <v>50198.55</v>
      </c>
    </row>
    <row r="6" spans="1:6" x14ac:dyDescent="0.3">
      <c r="A6" t="s">
        <v>42</v>
      </c>
      <c r="B6" s="8">
        <f>'Raw Financial Data'!G59</f>
        <v>16227.06</v>
      </c>
      <c r="C6" s="8">
        <f>'Raw Financial Data'!H59</f>
        <v>41604.03</v>
      </c>
      <c r="D6" s="8">
        <f>'Raw Financial Data'!I59</f>
        <v>53200.46</v>
      </c>
      <c r="E6" s="8">
        <f>'Raw Financial Data'!J59</f>
        <v>65310.15</v>
      </c>
      <c r="F6" s="8">
        <f>'Raw Financial Data'!K59</f>
        <v>91819.17</v>
      </c>
    </row>
    <row r="7" spans="1:6" x14ac:dyDescent="0.3">
      <c r="A7" t="s">
        <v>43</v>
      </c>
      <c r="B7" s="8">
        <f>'Raw Financial Data'!G60</f>
        <v>18231.09</v>
      </c>
      <c r="C7" s="8">
        <f>'Raw Financial Data'!H60</f>
        <v>37725.82</v>
      </c>
      <c r="D7" s="8">
        <f>'Raw Financial Data'!I60</f>
        <v>55027.01</v>
      </c>
      <c r="E7" s="8">
        <f>'Raw Financial Data'!J60</f>
        <v>56200</v>
      </c>
      <c r="F7" s="8">
        <f>'Raw Financial Data'!K60</f>
        <v>55709.74</v>
      </c>
    </row>
    <row r="8" spans="1:6" s="2" customFormat="1" x14ac:dyDescent="0.3">
      <c r="A8" s="2" t="s">
        <v>14</v>
      </c>
      <c r="B8" s="9">
        <f>'Raw Financial Data'!G61</f>
        <v>51616.72</v>
      </c>
      <c r="C8" s="9">
        <f>'Raw Financial Data'!H61</f>
        <v>101586.36</v>
      </c>
      <c r="D8" s="9">
        <f>'Raw Financial Data'!I61</f>
        <v>141278.48000000001</v>
      </c>
      <c r="E8" s="9">
        <f>'Raw Financial Data'!J61</f>
        <v>160586.23999999999</v>
      </c>
      <c r="F8" s="9">
        <f>'Raw Financial Data'!K61</f>
        <v>197842.88</v>
      </c>
    </row>
    <row r="9" spans="1:6" s="2" customFormat="1" x14ac:dyDescent="0.3">
      <c r="B9" s="9"/>
      <c r="C9" s="9"/>
      <c r="D9" s="9"/>
      <c r="E9" s="9"/>
      <c r="F9" s="9"/>
    </row>
    <row r="10" spans="1:6" x14ac:dyDescent="0.3">
      <c r="A10" t="s">
        <v>15</v>
      </c>
      <c r="B10" s="8">
        <f>'Raw Financial Data'!G62</f>
        <v>10837.61</v>
      </c>
      <c r="C10" s="8">
        <f>'Raw Financial Data'!H62</f>
        <v>30122.77</v>
      </c>
      <c r="D10" s="8">
        <f>'Raw Financial Data'!I62</f>
        <v>56881.13</v>
      </c>
      <c r="E10" s="8">
        <f>'Raw Financial Data'!J62</f>
        <v>65978.3</v>
      </c>
      <c r="F10" s="8">
        <f>'Raw Financial Data'!K62</f>
        <v>77260.14</v>
      </c>
    </row>
    <row r="11" spans="1:6" x14ac:dyDescent="0.3">
      <c r="A11" t="s">
        <v>16</v>
      </c>
      <c r="B11" s="8">
        <f>'Raw Financial Data'!G63</f>
        <v>8825.4599999999991</v>
      </c>
      <c r="C11" s="8">
        <f>'Raw Financial Data'!H63</f>
        <v>23544.42</v>
      </c>
      <c r="D11" s="8">
        <f>'Raw Financial Data'!I63</f>
        <v>24025.21</v>
      </c>
      <c r="E11" s="8">
        <f>'Raw Financial Data'!J63</f>
        <v>35179.5</v>
      </c>
      <c r="F11" s="8">
        <f>'Raw Financial Data'!K63</f>
        <v>51515.81</v>
      </c>
    </row>
    <row r="12" spans="1:6" x14ac:dyDescent="0.3">
      <c r="A12" t="s">
        <v>17</v>
      </c>
      <c r="B12" s="8">
        <f>'Raw Financial Data'!G64</f>
        <v>5502.94</v>
      </c>
      <c r="C12" s="8">
        <f>'Raw Financial Data'!H64</f>
        <v>4292.21</v>
      </c>
      <c r="D12" s="8">
        <f>'Raw Financial Data'!I64</f>
        <v>6310.17</v>
      </c>
      <c r="E12" s="8">
        <f>'Raw Financial Data'!J64</f>
        <v>8700.69</v>
      </c>
      <c r="F12" s="8">
        <f>'Raw Financial Data'!K64</f>
        <v>9886.61</v>
      </c>
    </row>
    <row r="13" spans="1:6" x14ac:dyDescent="0.3">
      <c r="A13" t="s">
        <v>44</v>
      </c>
      <c r="B13" s="8">
        <f>'Raw Financial Data'!G65</f>
        <v>26450.71</v>
      </c>
      <c r="C13" s="8">
        <f>'Raw Financial Data'!H65</f>
        <v>43626.96</v>
      </c>
      <c r="D13" s="8">
        <f>'Raw Financial Data'!I65</f>
        <v>54061.97</v>
      </c>
      <c r="E13" s="8">
        <f>'Raw Financial Data'!J65</f>
        <v>50727.75</v>
      </c>
      <c r="F13" s="8">
        <f>'Raw Financial Data'!K65</f>
        <v>59180.32</v>
      </c>
    </row>
    <row r="14" spans="1:6" s="2" customFormat="1" x14ac:dyDescent="0.3">
      <c r="A14" s="2" t="s">
        <v>14</v>
      </c>
      <c r="B14" s="8">
        <f>'Raw Financial Data'!G66</f>
        <v>51616.72</v>
      </c>
      <c r="C14" s="8">
        <f>'Raw Financial Data'!H66</f>
        <v>101586.36</v>
      </c>
      <c r="D14" s="8">
        <f>'Raw Financial Data'!I66</f>
        <v>141278.48000000001</v>
      </c>
      <c r="E14" s="8">
        <f>'Raw Financial Data'!J66</f>
        <v>160586.23999999999</v>
      </c>
      <c r="F14" s="8">
        <f>'Raw Financial Data'!K66</f>
        <v>197842.88</v>
      </c>
    </row>
    <row r="15" spans="1:6" x14ac:dyDescent="0.3">
      <c r="B15" s="3"/>
      <c r="C15" s="3"/>
      <c r="D15" s="3"/>
      <c r="E15" s="3"/>
      <c r="F15" s="3"/>
    </row>
    <row r="16" spans="1:6" x14ac:dyDescent="0.3">
      <c r="A16" t="s">
        <v>18</v>
      </c>
      <c r="B16" s="3">
        <f t="shared" ref="B16:F16" si="0">B13-B7</f>
        <v>8219.619999999999</v>
      </c>
      <c r="C16" s="3">
        <f t="shared" si="0"/>
        <v>5901.1399999999994</v>
      </c>
      <c r="D16" s="3">
        <f t="shared" si="0"/>
        <v>-965.04000000000087</v>
      </c>
      <c r="E16" s="3">
        <f t="shared" si="0"/>
        <v>-5472.25</v>
      </c>
      <c r="F16" s="3">
        <f t="shared" si="0"/>
        <v>3470.5800000000017</v>
      </c>
    </row>
    <row r="17" spans="1:6" x14ac:dyDescent="0.3">
      <c r="A17" t="s">
        <v>32</v>
      </c>
      <c r="B17" s="3">
        <f>'Raw Financial Data'!G67</f>
        <v>11982.65</v>
      </c>
      <c r="C17" s="3">
        <f>'Raw Financial Data'!H67</f>
        <v>13712.19</v>
      </c>
      <c r="D17" s="3">
        <f>'Raw Financial Data'!I67</f>
        <v>12552.88</v>
      </c>
      <c r="E17" s="3">
        <f>'Raw Financial Data'!J67</f>
        <v>9792.93</v>
      </c>
      <c r="F17" s="3">
        <f>'Raw Financial Data'!K67</f>
        <v>9616.4699999999993</v>
      </c>
    </row>
    <row r="18" spans="1:6" x14ac:dyDescent="0.3">
      <c r="A18" t="s">
        <v>33</v>
      </c>
      <c r="B18" s="3">
        <f>'Raw Financial Data'!G68</f>
        <v>1757.04</v>
      </c>
      <c r="C18" s="3">
        <f>'Raw Financial Data'!H68</f>
        <v>6788.28</v>
      </c>
      <c r="D18" s="3">
        <f>'Raw Financial Data'!I68</f>
        <v>6918.05</v>
      </c>
      <c r="E18" s="3">
        <f>'Raw Financial Data'!J68</f>
        <v>9486.86</v>
      </c>
      <c r="F18" s="3">
        <f>'Raw Financial Data'!K68</f>
        <v>10287.39</v>
      </c>
    </row>
    <row r="20" spans="1:6" s="2" customFormat="1" x14ac:dyDescent="0.3">
      <c r="A20" s="2" t="s">
        <v>36</v>
      </c>
      <c r="B20" s="6">
        <f>IF(SUM('Balance Sheet'!B4:B5)&gt;0,'Cost Of Debt Analysis'!B15/SUM('Balance Sheet'!B4:B5),"")</f>
        <v>0</v>
      </c>
      <c r="C20" s="6">
        <f>IF(SUM('Balance Sheet'!C4:C5)&gt;0,'Cost Of Debt Analysis'!C15/SUM('Balance Sheet'!C4:C5),"")</f>
        <v>0</v>
      </c>
      <c r="D20" s="6">
        <f>IF(SUM('Balance Sheet'!D4:D5)&gt;0,'Cost Of Debt Analysis'!D15/SUM('Balance Sheet'!D4:D5),"")</f>
        <v>0</v>
      </c>
      <c r="E20" s="6">
        <f>IF(SUM('Balance Sheet'!E4:E5)&gt;0,'Cost Of Debt Analysis'!E15/SUM('Balance Sheet'!E4:E5),"")</f>
        <v>0</v>
      </c>
      <c r="F20" s="6">
        <f>IF(SUM('Balance Sheet'!F4:F5)&gt;0,'Cost Of Debt Analysis'!F15/SUM('Balance Sheet'!F4:F5),"")</f>
        <v>0</v>
      </c>
    </row>
    <row r="21" spans="1:6" s="2" customFormat="1" x14ac:dyDescent="0.3">
      <c r="A21" s="2" t="s">
        <v>37</v>
      </c>
      <c r="B21" s="6" t="e">
        <f>IF((#REF!+#REF!+#REF!+B4+B5+B6)&gt;0,('Cost Of Debt Analysis'!B5+'Cost Of Debt Analysis'!B4)*2/(#REF!+#REF!+#REF!+B4+B5+B6),"")</f>
        <v>#REF!</v>
      </c>
      <c r="C21" s="6">
        <f>IF((B4+B5+B6+C4+C5+C6)&gt;0,('Cost Of Debt Analysis'!C5+'Cost Of Debt Analysis'!C4)*2/(B4+B5+B6+C4+C5+C6),"")</f>
        <v>7.1528369703403233E-2</v>
      </c>
      <c r="D21" s="6">
        <f>IF((C4+C5+C6+D4+D5+D6)&gt;0,('Cost Of Debt Analysis'!D5+'Cost Of Debt Analysis'!D4)*2/(C4+C5+C6+D4+D5+D6),"")</f>
        <v>9.613861009522158E-2</v>
      </c>
      <c r="E21" s="6">
        <f>IF((D4+D5+D6+E4+E5+E6)&gt;0,('Cost Of Debt Analysis'!E5+'Cost Of Debt Analysis'!E4)*2/(D4+D5+D6+E4+E5+E6),"")</f>
        <v>9.9464476361995749E-2</v>
      </c>
      <c r="F21" s="6">
        <f>IF((E4+E5+E6+F4+F5+F6)&gt;0,('Cost Of Debt Analysis'!F5+'Cost Of Debt Analysis'!F4)*2/(E4+E5+E6+F4+F5+F6),"")</f>
        <v>0.13340776696744899</v>
      </c>
    </row>
  </sheetData>
  <hyperlinks>
    <hyperlink ref="E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selection activeCell="B2" sqref="B2"/>
    </sheetView>
  </sheetViews>
  <sheetFormatPr defaultColWidth="8.77734375" defaultRowHeight="14.4" x14ac:dyDescent="0.3"/>
  <cols>
    <col min="1" max="1" width="27.6640625" style="3" bestFit="1" customWidth="1"/>
    <col min="2" max="11" width="13.44140625" style="3" bestFit="1" customWidth="1"/>
    <col min="12" max="16384" width="8.77734375" style="3"/>
  </cols>
  <sheetData>
    <row r="1" spans="1:11" s="1" customFormat="1" x14ac:dyDescent="0.3">
      <c r="A1" s="1" t="s">
        <v>0</v>
      </c>
      <c r="B1" s="1" t="s">
        <v>1304</v>
      </c>
      <c r="E1" s="45" t="str">
        <f>IF(B2&lt;&gt;B3, "A NEW VERSION OF THE WORKSHEET IS AVAILABLE", "")</f>
        <v/>
      </c>
      <c r="F1" s="45"/>
      <c r="G1" s="45"/>
      <c r="H1" s="45"/>
      <c r="I1" s="45"/>
      <c r="J1" s="45"/>
      <c r="K1" s="45"/>
    </row>
    <row r="2" spans="1:11" x14ac:dyDescent="0.3">
      <c r="A2" s="1" t="s">
        <v>38</v>
      </c>
      <c r="B2" s="3">
        <v>2.1</v>
      </c>
      <c r="E2" s="46" t="s">
        <v>24</v>
      </c>
      <c r="F2" s="46"/>
      <c r="G2" s="46"/>
      <c r="H2" s="46"/>
      <c r="I2" s="46"/>
      <c r="J2" s="46"/>
      <c r="K2" s="46"/>
    </row>
    <row r="3" spans="1:11" x14ac:dyDescent="0.3">
      <c r="A3" s="1" t="s">
        <v>39</v>
      </c>
      <c r="B3" s="3">
        <v>2.1</v>
      </c>
    </row>
    <row r="4" spans="1:11" x14ac:dyDescent="0.3">
      <c r="A4" s="1"/>
    </row>
    <row r="5" spans="1:11" x14ac:dyDescent="0.3">
      <c r="A5" s="1" t="s">
        <v>40</v>
      </c>
    </row>
    <row r="6" spans="1:11" x14ac:dyDescent="0.3">
      <c r="A6" s="3" t="s">
        <v>30</v>
      </c>
      <c r="B6" s="3">
        <f>IF(B9&gt;0, B9/B8, 0)</f>
        <v>130.17406323426357</v>
      </c>
    </row>
    <row r="7" spans="1:11" x14ac:dyDescent="0.3">
      <c r="A7" s="3" t="s">
        <v>19</v>
      </c>
      <c r="B7">
        <v>1</v>
      </c>
    </row>
    <row r="8" spans="1:11" x14ac:dyDescent="0.3">
      <c r="A8" s="3" t="s">
        <v>31</v>
      </c>
      <c r="B8">
        <v>2425.9</v>
      </c>
    </row>
    <row r="9" spans="1:11" x14ac:dyDescent="0.3">
      <c r="A9" s="3" t="s">
        <v>50</v>
      </c>
      <c r="B9">
        <v>315789.26</v>
      </c>
    </row>
    <row r="15" spans="1:11" x14ac:dyDescent="0.3">
      <c r="A15" s="1" t="s">
        <v>25</v>
      </c>
    </row>
    <row r="16" spans="1:11" s="11" customFormat="1" x14ac:dyDescent="0.3">
      <c r="A16" s="10" t="s">
        <v>26</v>
      </c>
      <c r="B16" s="7">
        <v>42460</v>
      </c>
      <c r="C16" s="7">
        <v>42825</v>
      </c>
      <c r="D16" s="7">
        <v>43190</v>
      </c>
      <c r="E16" s="7">
        <v>43555</v>
      </c>
      <c r="F16" s="7">
        <v>43921</v>
      </c>
      <c r="G16" s="7">
        <v>44286</v>
      </c>
      <c r="H16" s="7">
        <v>44651</v>
      </c>
      <c r="I16" s="7">
        <v>45016</v>
      </c>
      <c r="J16" s="7">
        <v>45382</v>
      </c>
      <c r="K16" s="7">
        <v>45747</v>
      </c>
    </row>
    <row r="17" spans="1:11" s="5" customFormat="1" x14ac:dyDescent="0.3">
      <c r="A17" s="5" t="s">
        <v>3</v>
      </c>
      <c r="B17">
        <v>34008.379999999997</v>
      </c>
      <c r="C17">
        <v>36532.86</v>
      </c>
      <c r="D17">
        <v>35923.919999999998</v>
      </c>
      <c r="E17">
        <v>40378.660000000003</v>
      </c>
      <c r="F17">
        <v>43402.559999999998</v>
      </c>
      <c r="G17">
        <v>39537.129999999997</v>
      </c>
      <c r="H17">
        <v>69420.179999999993</v>
      </c>
      <c r="I17">
        <v>127539.5</v>
      </c>
      <c r="J17">
        <v>96420.98</v>
      </c>
      <c r="K17">
        <v>97894.75</v>
      </c>
    </row>
    <row r="18" spans="1:11" s="5" customFormat="1" x14ac:dyDescent="0.3">
      <c r="A18" s="3" t="s">
        <v>51</v>
      </c>
      <c r="B18">
        <v>28195.81</v>
      </c>
      <c r="C18">
        <v>30945.16</v>
      </c>
      <c r="D18">
        <v>30771.08</v>
      </c>
      <c r="E18">
        <v>33821.4</v>
      </c>
      <c r="F18">
        <v>34350.199999999997</v>
      </c>
      <c r="G18">
        <v>29791.08</v>
      </c>
      <c r="H18">
        <v>57651.32</v>
      </c>
      <c r="I18">
        <v>93814.06</v>
      </c>
      <c r="J18">
        <v>51507.72</v>
      </c>
      <c r="K18">
        <v>49524.73</v>
      </c>
    </row>
    <row r="19" spans="1:11" s="5" customFormat="1" x14ac:dyDescent="0.3">
      <c r="A19" s="3" t="s">
        <v>52</v>
      </c>
      <c r="B19">
        <v>-226.21</v>
      </c>
      <c r="C19">
        <v>-36.380000000000003</v>
      </c>
      <c r="D19">
        <v>772.74</v>
      </c>
      <c r="E19">
        <v>499.99</v>
      </c>
      <c r="F19">
        <v>-310.13</v>
      </c>
      <c r="G19">
        <v>-456.74</v>
      </c>
      <c r="H19">
        <v>3933.82</v>
      </c>
      <c r="I19">
        <v>327.16000000000003</v>
      </c>
      <c r="J19">
        <v>1116.49</v>
      </c>
      <c r="K19">
        <v>-1844.54</v>
      </c>
    </row>
    <row r="20" spans="1:11" s="5" customFormat="1" x14ac:dyDescent="0.3">
      <c r="A20" s="3" t="s">
        <v>53</v>
      </c>
      <c r="B20">
        <v>7.5</v>
      </c>
      <c r="C20">
        <v>7.42</v>
      </c>
      <c r="D20">
        <v>2.91</v>
      </c>
      <c r="E20">
        <v>5.74</v>
      </c>
      <c r="F20">
        <v>12.22</v>
      </c>
      <c r="G20">
        <v>13.4</v>
      </c>
      <c r="H20">
        <v>58.98</v>
      </c>
      <c r="I20">
        <v>18.420000000000002</v>
      </c>
      <c r="J20">
        <v>1710.02</v>
      </c>
      <c r="K20">
        <v>2037.48</v>
      </c>
    </row>
    <row r="21" spans="1:11" s="5" customFormat="1" x14ac:dyDescent="0.3">
      <c r="A21" s="3" t="s">
        <v>54</v>
      </c>
      <c r="B21">
        <v>1705.69</v>
      </c>
      <c r="C21">
        <v>1910.37</v>
      </c>
      <c r="D21">
        <v>2204.89</v>
      </c>
      <c r="E21">
        <v>2551.2800000000002</v>
      </c>
      <c r="F21">
        <v>3115.25</v>
      </c>
      <c r="G21">
        <v>4357.88</v>
      </c>
      <c r="H21">
        <v>7793.57</v>
      </c>
      <c r="I21">
        <v>14377.83</v>
      </c>
      <c r="J21">
        <v>20616.96</v>
      </c>
      <c r="K21">
        <v>16964.509999999998</v>
      </c>
    </row>
    <row r="22" spans="1:11" s="5" customFormat="1" x14ac:dyDescent="0.3">
      <c r="A22" s="3" t="s">
        <v>55</v>
      </c>
      <c r="B22">
        <v>528.99</v>
      </c>
      <c r="C22">
        <v>511.48</v>
      </c>
      <c r="D22">
        <v>568.97</v>
      </c>
      <c r="E22">
        <v>657.18</v>
      </c>
      <c r="F22">
        <v>683.28</v>
      </c>
      <c r="G22">
        <v>830.36</v>
      </c>
      <c r="H22">
        <v>1182.0999999999999</v>
      </c>
      <c r="I22">
        <v>1879.07</v>
      </c>
      <c r="J22">
        <v>2332.9699999999998</v>
      </c>
      <c r="K22">
        <v>3121.84</v>
      </c>
    </row>
    <row r="23" spans="1:11" s="5" customFormat="1" x14ac:dyDescent="0.3">
      <c r="A23" s="3" t="s">
        <v>56</v>
      </c>
      <c r="B23">
        <v>1358.01</v>
      </c>
      <c r="C23">
        <v>1004.69</v>
      </c>
      <c r="D23">
        <v>928.28</v>
      </c>
      <c r="E23">
        <v>1230.6199999999999</v>
      </c>
      <c r="F23">
        <v>1954.57</v>
      </c>
      <c r="G23">
        <v>1306.48</v>
      </c>
      <c r="H23">
        <v>2412.38</v>
      </c>
      <c r="I23">
        <v>8135.29</v>
      </c>
      <c r="J23">
        <v>8914.17</v>
      </c>
      <c r="K23">
        <v>9245.98</v>
      </c>
    </row>
    <row r="24" spans="1:11" s="5" customFormat="1" x14ac:dyDescent="0.3">
      <c r="A24" s="3" t="s">
        <v>57</v>
      </c>
      <c r="B24">
        <v>302.58</v>
      </c>
      <c r="C24">
        <v>215.13</v>
      </c>
      <c r="D24">
        <v>182.82</v>
      </c>
      <c r="E24">
        <v>643.09</v>
      </c>
      <c r="F24">
        <v>682.52</v>
      </c>
      <c r="G24">
        <v>275.54000000000002</v>
      </c>
      <c r="H24">
        <v>542.04999999999995</v>
      </c>
      <c r="I24">
        <v>824.3</v>
      </c>
      <c r="J24">
        <v>1079.03</v>
      </c>
      <c r="K24">
        <v>903.64</v>
      </c>
    </row>
    <row r="25" spans="1:11" s="5" customFormat="1" x14ac:dyDescent="0.3">
      <c r="A25" s="5" t="s">
        <v>6</v>
      </c>
      <c r="B25">
        <v>1043.6300000000001</v>
      </c>
      <c r="C25">
        <v>749.41</v>
      </c>
      <c r="D25">
        <v>363.21</v>
      </c>
      <c r="E25">
        <v>504.22</v>
      </c>
      <c r="F25">
        <v>872.32</v>
      </c>
      <c r="G25">
        <v>494.31</v>
      </c>
      <c r="H25">
        <v>1012.11</v>
      </c>
      <c r="I25">
        <v>834.23</v>
      </c>
      <c r="J25">
        <v>1146.3900000000001</v>
      </c>
      <c r="K25">
        <v>6403.1</v>
      </c>
    </row>
    <row r="26" spans="1:11" s="5" customFormat="1" x14ac:dyDescent="0.3">
      <c r="A26" s="5" t="s">
        <v>7</v>
      </c>
      <c r="B26">
        <v>314.45</v>
      </c>
      <c r="C26">
        <v>315.45999999999998</v>
      </c>
      <c r="D26">
        <v>663.92</v>
      </c>
      <c r="E26">
        <v>389.77</v>
      </c>
      <c r="F26">
        <v>472.06</v>
      </c>
      <c r="G26">
        <v>537.14</v>
      </c>
      <c r="H26">
        <v>1247.78</v>
      </c>
      <c r="I26">
        <v>2436.14</v>
      </c>
      <c r="J26">
        <v>3042.15</v>
      </c>
      <c r="K26">
        <v>4211.33</v>
      </c>
    </row>
    <row r="27" spans="1:11" s="5" customFormat="1" x14ac:dyDescent="0.3">
      <c r="A27" s="5" t="s">
        <v>8</v>
      </c>
      <c r="B27">
        <v>1356.99</v>
      </c>
      <c r="C27">
        <v>1257.31</v>
      </c>
      <c r="D27">
        <v>1250.17</v>
      </c>
      <c r="E27">
        <v>1625.07</v>
      </c>
      <c r="F27">
        <v>1572.32</v>
      </c>
      <c r="G27">
        <v>1376.85</v>
      </c>
      <c r="H27">
        <v>2525.88</v>
      </c>
      <c r="I27">
        <v>3968.9</v>
      </c>
      <c r="J27">
        <v>4554.7</v>
      </c>
      <c r="K27">
        <v>5978.02</v>
      </c>
    </row>
    <row r="28" spans="1:11" s="5" customFormat="1" x14ac:dyDescent="0.3">
      <c r="A28" s="5" t="s">
        <v>9</v>
      </c>
      <c r="B28">
        <v>1055.78</v>
      </c>
      <c r="C28">
        <v>1078.8699999999999</v>
      </c>
      <c r="D28">
        <v>486.83</v>
      </c>
      <c r="E28">
        <v>458.72</v>
      </c>
      <c r="F28">
        <v>1122.33</v>
      </c>
      <c r="G28">
        <v>1085.97</v>
      </c>
      <c r="H28">
        <v>952.05</v>
      </c>
      <c r="I28">
        <v>3246.88</v>
      </c>
      <c r="J28">
        <v>4926.1400000000003</v>
      </c>
      <c r="K28">
        <v>10465.780000000001</v>
      </c>
    </row>
    <row r="29" spans="1:11" s="5" customFormat="1" x14ac:dyDescent="0.3">
      <c r="A29" s="5" t="s">
        <v>10</v>
      </c>
      <c r="B29">
        <v>77.94</v>
      </c>
      <c r="C29">
        <v>271.14999999999998</v>
      </c>
      <c r="D29">
        <v>112.11</v>
      </c>
      <c r="E29">
        <v>144.54</v>
      </c>
      <c r="F29">
        <v>324.33</v>
      </c>
      <c r="G29">
        <v>339.65</v>
      </c>
      <c r="H29">
        <v>476.68</v>
      </c>
      <c r="I29">
        <v>1037.94</v>
      </c>
      <c r="J29">
        <v>1631.51</v>
      </c>
      <c r="K29">
        <v>2968.52</v>
      </c>
    </row>
    <row r="30" spans="1:11" s="5" customFormat="1" x14ac:dyDescent="0.3">
      <c r="A30" s="5" t="s">
        <v>11</v>
      </c>
      <c r="B30">
        <v>1010.72</v>
      </c>
      <c r="C30">
        <v>987.74</v>
      </c>
      <c r="D30">
        <v>757.25</v>
      </c>
      <c r="E30">
        <v>717.14</v>
      </c>
      <c r="F30">
        <v>1138.17</v>
      </c>
      <c r="G30">
        <v>922.64</v>
      </c>
      <c r="H30">
        <v>776.56</v>
      </c>
      <c r="I30">
        <v>2463.98</v>
      </c>
      <c r="J30">
        <v>3239.55</v>
      </c>
      <c r="K30">
        <v>7111.96</v>
      </c>
    </row>
    <row r="31" spans="1:11" s="5" customFormat="1" x14ac:dyDescent="0.3">
      <c r="A31" s="5" t="s">
        <v>41</v>
      </c>
      <c r="B31">
        <v>43.99</v>
      </c>
      <c r="C31">
        <v>43.99</v>
      </c>
      <c r="D31">
        <v>43.99</v>
      </c>
      <c r="E31">
        <v>43.99</v>
      </c>
      <c r="F31">
        <v>109.98</v>
      </c>
      <c r="G31">
        <v>109.98</v>
      </c>
      <c r="H31">
        <v>109.98</v>
      </c>
      <c r="I31">
        <v>136.80000000000001</v>
      </c>
      <c r="J31">
        <v>148.19999999999999</v>
      </c>
      <c r="K31">
        <v>150.05000000000001</v>
      </c>
    </row>
    <row r="32" spans="1:11" s="5" customFormat="1" x14ac:dyDescent="0.3"/>
    <row r="33" spans="1:11" x14ac:dyDescent="0.3">
      <c r="A33" s="5"/>
    </row>
    <row r="34" spans="1:11" x14ac:dyDescent="0.3">
      <c r="A34" s="5"/>
    </row>
    <row r="35" spans="1:11" x14ac:dyDescent="0.3">
      <c r="A35" s="5"/>
    </row>
    <row r="36" spans="1:11" x14ac:dyDescent="0.3">
      <c r="A36" s="5"/>
    </row>
    <row r="37" spans="1:11" x14ac:dyDescent="0.3">
      <c r="A37" s="5"/>
    </row>
    <row r="38" spans="1:11" x14ac:dyDescent="0.3">
      <c r="A38" s="5"/>
    </row>
    <row r="39" spans="1:11" x14ac:dyDescent="0.3">
      <c r="A39" s="5"/>
    </row>
    <row r="40" spans="1:11" x14ac:dyDescent="0.3">
      <c r="A40" s="1" t="s">
        <v>27</v>
      </c>
    </row>
    <row r="41" spans="1:11" s="11" customFormat="1" x14ac:dyDescent="0.3">
      <c r="A41" s="10" t="s">
        <v>26</v>
      </c>
      <c r="B41" s="7">
        <v>45199</v>
      </c>
      <c r="C41" s="7">
        <v>45291</v>
      </c>
      <c r="D41" s="7">
        <v>45382</v>
      </c>
      <c r="E41" s="7">
        <v>45473</v>
      </c>
      <c r="F41" s="7">
        <v>45565</v>
      </c>
      <c r="G41" s="7">
        <v>45657</v>
      </c>
      <c r="H41" s="7">
        <v>45747</v>
      </c>
      <c r="I41" s="7">
        <v>45838</v>
      </c>
      <c r="J41" s="7">
        <v>45930</v>
      </c>
      <c r="K41" s="7">
        <v>46022</v>
      </c>
    </row>
    <row r="42" spans="1:11" s="5" customFormat="1" x14ac:dyDescent="0.3">
      <c r="A42" s="5" t="s">
        <v>3</v>
      </c>
      <c r="B42">
        <v>19546.25</v>
      </c>
      <c r="C42">
        <v>25050.23</v>
      </c>
      <c r="D42">
        <v>29180.02</v>
      </c>
      <c r="E42">
        <v>25472.400000000001</v>
      </c>
      <c r="F42">
        <v>22608.07</v>
      </c>
      <c r="G42">
        <v>22848.42</v>
      </c>
      <c r="H42">
        <v>26965.86</v>
      </c>
      <c r="I42">
        <v>21961.200000000001</v>
      </c>
      <c r="J42">
        <v>21248.51</v>
      </c>
      <c r="K42">
        <v>24819.59</v>
      </c>
    </row>
    <row r="43" spans="1:11" s="5" customFormat="1" x14ac:dyDescent="0.3">
      <c r="A43" s="5" t="s">
        <v>4</v>
      </c>
      <c r="B43">
        <v>17116.21</v>
      </c>
      <c r="C43">
        <v>21824.37</v>
      </c>
      <c r="D43">
        <v>25984.58</v>
      </c>
      <c r="E43">
        <v>21766.59</v>
      </c>
      <c r="F43">
        <v>18842.27</v>
      </c>
      <c r="G43">
        <v>19778.009999999998</v>
      </c>
      <c r="H43">
        <v>23255.85</v>
      </c>
      <c r="I43">
        <v>18650.91</v>
      </c>
      <c r="J43">
        <v>17941.95</v>
      </c>
      <c r="K43">
        <v>21178.07</v>
      </c>
    </row>
    <row r="44" spans="1:11" s="5" customFormat="1" x14ac:dyDescent="0.3">
      <c r="A44" s="5" t="s">
        <v>6</v>
      </c>
      <c r="B44">
        <v>460.61</v>
      </c>
      <c r="C44">
        <v>491.07</v>
      </c>
      <c r="D44">
        <v>-175.65</v>
      </c>
      <c r="E44">
        <v>590.55999999999995</v>
      </c>
      <c r="F44">
        <v>582.57000000000005</v>
      </c>
      <c r="G44">
        <v>648.46</v>
      </c>
      <c r="H44">
        <v>4581.51</v>
      </c>
      <c r="I44">
        <v>475.42</v>
      </c>
      <c r="J44">
        <v>4178.84</v>
      </c>
      <c r="K44">
        <v>6287.94</v>
      </c>
    </row>
    <row r="45" spans="1:11" s="5" customFormat="1" x14ac:dyDescent="0.3">
      <c r="A45" s="5" t="s">
        <v>7</v>
      </c>
      <c r="B45">
        <v>756.96</v>
      </c>
      <c r="C45">
        <v>759.86</v>
      </c>
      <c r="D45">
        <v>811.47</v>
      </c>
      <c r="E45">
        <v>934.08</v>
      </c>
      <c r="F45">
        <v>1035.19</v>
      </c>
      <c r="G45">
        <v>1005.65</v>
      </c>
      <c r="H45">
        <v>1236.4100000000001</v>
      </c>
      <c r="I45">
        <v>1283.95</v>
      </c>
      <c r="J45">
        <v>1376.55</v>
      </c>
      <c r="K45">
        <v>1371.59</v>
      </c>
    </row>
    <row r="46" spans="1:11" s="5" customFormat="1" x14ac:dyDescent="0.3">
      <c r="A46" s="5" t="s">
        <v>8</v>
      </c>
      <c r="B46">
        <v>1342.65</v>
      </c>
      <c r="C46">
        <v>596.55999999999995</v>
      </c>
      <c r="D46">
        <v>1512.62</v>
      </c>
      <c r="E46">
        <v>1130.49</v>
      </c>
      <c r="F46">
        <v>909.83</v>
      </c>
      <c r="G46">
        <v>2141.3200000000002</v>
      </c>
      <c r="H46">
        <v>1796.38</v>
      </c>
      <c r="I46">
        <v>1035.48</v>
      </c>
      <c r="J46">
        <v>1711.22</v>
      </c>
      <c r="K46">
        <v>1625.94</v>
      </c>
    </row>
    <row r="47" spans="1:11" s="5" customFormat="1" x14ac:dyDescent="0.3">
      <c r="A47" s="5" t="s">
        <v>9</v>
      </c>
      <c r="B47">
        <v>791.04</v>
      </c>
      <c r="C47">
        <v>2360.5100000000002</v>
      </c>
      <c r="D47">
        <v>695.7</v>
      </c>
      <c r="E47">
        <v>2231.8000000000002</v>
      </c>
      <c r="F47">
        <v>2403.35</v>
      </c>
      <c r="G47">
        <v>571.9</v>
      </c>
      <c r="H47">
        <v>5258.73</v>
      </c>
      <c r="I47">
        <v>1466.28</v>
      </c>
      <c r="J47">
        <v>4397.63</v>
      </c>
      <c r="K47">
        <v>6931.93</v>
      </c>
    </row>
    <row r="48" spans="1:11" s="5" customFormat="1" x14ac:dyDescent="0.3">
      <c r="A48" s="5" t="s">
        <v>10</v>
      </c>
      <c r="B48">
        <v>397.82</v>
      </c>
      <c r="C48">
        <v>442.84</v>
      </c>
      <c r="D48">
        <v>430.12</v>
      </c>
      <c r="E48">
        <v>583.6</v>
      </c>
      <c r="F48">
        <v>512.37</v>
      </c>
      <c r="G48">
        <v>588.44000000000005</v>
      </c>
      <c r="H48">
        <v>1284.1099999999999</v>
      </c>
      <c r="I48">
        <v>571.25</v>
      </c>
      <c r="J48">
        <v>1001.07</v>
      </c>
      <c r="K48">
        <v>1405.11</v>
      </c>
    </row>
    <row r="49" spans="1:11" s="5" customFormat="1" x14ac:dyDescent="0.3">
      <c r="A49" s="5" t="s">
        <v>11</v>
      </c>
      <c r="B49">
        <v>227.82</v>
      </c>
      <c r="C49">
        <v>1888.45</v>
      </c>
      <c r="D49">
        <v>450.58</v>
      </c>
      <c r="E49">
        <v>1454.5</v>
      </c>
      <c r="F49">
        <v>1741.75</v>
      </c>
      <c r="G49">
        <v>57.83</v>
      </c>
      <c r="H49">
        <v>3844.91</v>
      </c>
      <c r="I49">
        <v>734.41</v>
      </c>
      <c r="J49">
        <v>3198.75</v>
      </c>
      <c r="K49">
        <v>5627.02</v>
      </c>
    </row>
    <row r="50" spans="1:11" x14ac:dyDescent="0.3">
      <c r="A50" s="5" t="s">
        <v>5</v>
      </c>
      <c r="B50">
        <v>2430.04</v>
      </c>
      <c r="C50">
        <v>3225.86</v>
      </c>
      <c r="D50">
        <v>3195.44</v>
      </c>
      <c r="E50">
        <v>3705.81</v>
      </c>
      <c r="F50">
        <v>3765.8</v>
      </c>
      <c r="G50">
        <v>3070.41</v>
      </c>
      <c r="H50">
        <v>3710.01</v>
      </c>
      <c r="I50">
        <v>3310.29</v>
      </c>
      <c r="J50">
        <v>3306.56</v>
      </c>
      <c r="K50">
        <v>3641.52</v>
      </c>
    </row>
    <row r="51" spans="1:11" x14ac:dyDescent="0.3">
      <c r="A51" s="5"/>
    </row>
    <row r="52" spans="1:11" x14ac:dyDescent="0.3">
      <c r="A52" s="5"/>
    </row>
    <row r="53" spans="1:11" x14ac:dyDescent="0.3">
      <c r="A53" s="5"/>
    </row>
    <row r="54" spans="1:11" x14ac:dyDescent="0.3">
      <c r="A54" s="5"/>
    </row>
    <row r="55" spans="1:11" x14ac:dyDescent="0.3">
      <c r="A55" s="1" t="s">
        <v>28</v>
      </c>
    </row>
    <row r="56" spans="1:11" s="11" customFormat="1" x14ac:dyDescent="0.3">
      <c r="A56" s="10" t="s">
        <v>26</v>
      </c>
      <c r="B56" s="7">
        <v>42460</v>
      </c>
      <c r="C56" s="7">
        <v>42825</v>
      </c>
      <c r="D56" s="7">
        <v>43190</v>
      </c>
      <c r="E56" s="7">
        <v>43555</v>
      </c>
      <c r="F56" s="7">
        <v>43921</v>
      </c>
      <c r="G56" s="7">
        <v>44286</v>
      </c>
      <c r="H56" s="7">
        <v>44651</v>
      </c>
      <c r="I56" s="7">
        <v>45016</v>
      </c>
      <c r="J56" s="7">
        <v>45382</v>
      </c>
      <c r="K56" s="7">
        <v>45747</v>
      </c>
    </row>
    <row r="57" spans="1:11" x14ac:dyDescent="0.3">
      <c r="A57" s="5" t="s">
        <v>12</v>
      </c>
      <c r="B57">
        <v>109.98</v>
      </c>
      <c r="C57">
        <v>109.98</v>
      </c>
      <c r="D57">
        <v>109.98</v>
      </c>
      <c r="E57">
        <v>109.98</v>
      </c>
      <c r="F57">
        <v>109.98</v>
      </c>
      <c r="G57">
        <v>109.98</v>
      </c>
      <c r="H57">
        <v>109.98</v>
      </c>
      <c r="I57">
        <v>114</v>
      </c>
      <c r="J57">
        <v>114</v>
      </c>
      <c r="K57">
        <v>115.42</v>
      </c>
    </row>
    <row r="58" spans="1:11" x14ac:dyDescent="0.3">
      <c r="A58" s="5" t="s">
        <v>13</v>
      </c>
      <c r="B58">
        <v>13267.63</v>
      </c>
      <c r="C58">
        <v>14025.99</v>
      </c>
      <c r="D58">
        <v>14979.19</v>
      </c>
      <c r="E58">
        <v>14645.96</v>
      </c>
      <c r="F58">
        <v>16836.59</v>
      </c>
      <c r="G58">
        <v>17048.59</v>
      </c>
      <c r="H58">
        <v>22146.53</v>
      </c>
      <c r="I58">
        <v>32937.01</v>
      </c>
      <c r="J58">
        <v>38962.089999999997</v>
      </c>
      <c r="K58">
        <v>50198.55</v>
      </c>
    </row>
    <row r="59" spans="1:11" x14ac:dyDescent="0.3">
      <c r="A59" s="5" t="s">
        <v>42</v>
      </c>
      <c r="B59">
        <v>19169.349999999999</v>
      </c>
      <c r="C59">
        <v>20845.72</v>
      </c>
      <c r="D59">
        <v>17636.689999999999</v>
      </c>
      <c r="E59">
        <v>11243.2</v>
      </c>
      <c r="F59">
        <v>12419.3</v>
      </c>
      <c r="G59">
        <v>16227.06</v>
      </c>
      <c r="H59">
        <v>41604.03</v>
      </c>
      <c r="I59">
        <v>53200.46</v>
      </c>
      <c r="J59">
        <v>65310.15</v>
      </c>
      <c r="K59">
        <v>91819.17</v>
      </c>
    </row>
    <row r="60" spans="1:11" x14ac:dyDescent="0.3">
      <c r="A60" s="5" t="s">
        <v>43</v>
      </c>
      <c r="B60">
        <v>9132.42</v>
      </c>
      <c r="C60">
        <v>12629.78</v>
      </c>
      <c r="D60">
        <v>23679.48</v>
      </c>
      <c r="E60">
        <v>16537.04</v>
      </c>
      <c r="F60">
        <v>17509.189999999999</v>
      </c>
      <c r="G60">
        <v>18231.09</v>
      </c>
      <c r="H60">
        <v>37725.82</v>
      </c>
      <c r="I60">
        <v>55027.01</v>
      </c>
      <c r="J60">
        <v>56200</v>
      </c>
      <c r="K60">
        <v>55709.74</v>
      </c>
    </row>
    <row r="61" spans="1:11" s="1" customFormat="1" x14ac:dyDescent="0.3">
      <c r="A61" s="1" t="s">
        <v>14</v>
      </c>
      <c r="B61">
        <v>41679.379999999997</v>
      </c>
      <c r="C61">
        <v>47611.47</v>
      </c>
      <c r="D61">
        <v>56405.34</v>
      </c>
      <c r="E61">
        <v>42536.18</v>
      </c>
      <c r="F61">
        <v>46875.06</v>
      </c>
      <c r="G61">
        <v>51616.72</v>
      </c>
      <c r="H61">
        <v>101586.36</v>
      </c>
      <c r="I61">
        <v>141278.48000000001</v>
      </c>
      <c r="J61">
        <v>160586.23999999999</v>
      </c>
      <c r="K61">
        <v>197842.88</v>
      </c>
    </row>
    <row r="62" spans="1:11" x14ac:dyDescent="0.3">
      <c r="A62" s="5" t="s">
        <v>15</v>
      </c>
      <c r="B62">
        <v>10473.299999999999</v>
      </c>
      <c r="C62">
        <v>13667.98</v>
      </c>
      <c r="D62">
        <v>10555.19</v>
      </c>
      <c r="E62">
        <v>9020.11</v>
      </c>
      <c r="F62">
        <v>10476.459999999999</v>
      </c>
      <c r="G62">
        <v>10837.61</v>
      </c>
      <c r="H62">
        <v>30122.77</v>
      </c>
      <c r="I62">
        <v>56881.13</v>
      </c>
      <c r="J62">
        <v>65978.3</v>
      </c>
      <c r="K62">
        <v>77260.14</v>
      </c>
    </row>
    <row r="63" spans="1:11" x14ac:dyDescent="0.3">
      <c r="A63" s="5" t="s">
        <v>16</v>
      </c>
      <c r="B63">
        <v>7704.94</v>
      </c>
      <c r="C63">
        <v>7731.49</v>
      </c>
      <c r="D63">
        <v>5525.87</v>
      </c>
      <c r="E63">
        <v>5764.92</v>
      </c>
      <c r="F63">
        <v>7346.73</v>
      </c>
      <c r="G63">
        <v>8825.4599999999991</v>
      </c>
      <c r="H63">
        <v>23544.42</v>
      </c>
      <c r="I63">
        <v>24025.21</v>
      </c>
      <c r="J63">
        <v>35179.5</v>
      </c>
      <c r="K63">
        <v>51515.81</v>
      </c>
    </row>
    <row r="64" spans="1:11" x14ac:dyDescent="0.3">
      <c r="A64" s="5" t="s">
        <v>17</v>
      </c>
      <c r="B64">
        <v>804.95</v>
      </c>
      <c r="C64">
        <v>1041.75</v>
      </c>
      <c r="D64">
        <v>1460.72</v>
      </c>
      <c r="E64">
        <v>1511.35</v>
      </c>
      <c r="F64">
        <v>1952.49</v>
      </c>
      <c r="G64">
        <v>5502.94</v>
      </c>
      <c r="H64">
        <v>4292.21</v>
      </c>
      <c r="I64">
        <v>6310.17</v>
      </c>
      <c r="J64">
        <v>8700.69</v>
      </c>
      <c r="K64">
        <v>9886.61</v>
      </c>
    </row>
    <row r="65" spans="1:11" x14ac:dyDescent="0.3">
      <c r="A65" s="5" t="s">
        <v>44</v>
      </c>
      <c r="B65">
        <v>22696.19</v>
      </c>
      <c r="C65">
        <v>25170.25</v>
      </c>
      <c r="D65">
        <v>38863.56</v>
      </c>
      <c r="E65">
        <v>26239.8</v>
      </c>
      <c r="F65">
        <v>27099.38</v>
      </c>
      <c r="G65">
        <v>26450.71</v>
      </c>
      <c r="H65">
        <v>43626.96</v>
      </c>
      <c r="I65">
        <v>54061.97</v>
      </c>
      <c r="J65">
        <v>50727.75</v>
      </c>
      <c r="K65">
        <v>59180.32</v>
      </c>
    </row>
    <row r="66" spans="1:11" s="1" customFormat="1" x14ac:dyDescent="0.3">
      <c r="A66" s="1" t="s">
        <v>14</v>
      </c>
      <c r="B66">
        <v>41679.379999999997</v>
      </c>
      <c r="C66">
        <v>47611.47</v>
      </c>
      <c r="D66">
        <v>56405.34</v>
      </c>
      <c r="E66">
        <v>42536.18</v>
      </c>
      <c r="F66">
        <v>46875.06</v>
      </c>
      <c r="G66">
        <v>51616.72</v>
      </c>
      <c r="H66">
        <v>101586.36</v>
      </c>
      <c r="I66">
        <v>141278.48000000001</v>
      </c>
      <c r="J66">
        <v>160586.23999999999</v>
      </c>
      <c r="K66">
        <v>197842.88</v>
      </c>
    </row>
    <row r="67" spans="1:11" s="5" customFormat="1" x14ac:dyDescent="0.3">
      <c r="A67" s="5" t="s">
        <v>49</v>
      </c>
      <c r="B67">
        <v>10187.459999999999</v>
      </c>
      <c r="C67">
        <v>12741.75</v>
      </c>
      <c r="D67">
        <v>12098.77</v>
      </c>
      <c r="E67">
        <v>14307.03</v>
      </c>
      <c r="F67">
        <v>13146.53</v>
      </c>
      <c r="G67">
        <v>11982.65</v>
      </c>
      <c r="H67">
        <v>13712.19</v>
      </c>
      <c r="I67">
        <v>12552.88</v>
      </c>
      <c r="J67">
        <v>9792.93</v>
      </c>
      <c r="K67">
        <v>9616.4699999999993</v>
      </c>
    </row>
    <row r="68" spans="1:11" x14ac:dyDescent="0.3">
      <c r="A68" s="5" t="s">
        <v>33</v>
      </c>
      <c r="B68">
        <v>1299.78</v>
      </c>
      <c r="C68">
        <v>1651.9</v>
      </c>
      <c r="D68">
        <v>2342.56</v>
      </c>
      <c r="E68">
        <v>2668.82</v>
      </c>
      <c r="F68">
        <v>2562.37</v>
      </c>
      <c r="G68">
        <v>1757.04</v>
      </c>
      <c r="H68">
        <v>6788.28</v>
      </c>
      <c r="I68">
        <v>6918.05</v>
      </c>
      <c r="J68">
        <v>9486.86</v>
      </c>
      <c r="K68">
        <v>10287.39</v>
      </c>
    </row>
    <row r="69" spans="1:11" x14ac:dyDescent="0.3">
      <c r="A69" s="3" t="s">
        <v>58</v>
      </c>
      <c r="B69">
        <v>1539.5</v>
      </c>
      <c r="C69">
        <v>1715.09</v>
      </c>
      <c r="D69">
        <v>1884.25</v>
      </c>
      <c r="E69">
        <v>1709.28</v>
      </c>
      <c r="F69">
        <v>3376.68</v>
      </c>
      <c r="G69">
        <v>1810.82</v>
      </c>
      <c r="H69">
        <v>3915.86</v>
      </c>
      <c r="I69">
        <v>5373.69</v>
      </c>
      <c r="J69">
        <v>7068.48</v>
      </c>
      <c r="K69">
        <v>6962.46</v>
      </c>
    </row>
    <row r="70" spans="1:11" x14ac:dyDescent="0.3">
      <c r="A70" s="3" t="s">
        <v>45</v>
      </c>
      <c r="B70">
        <v>1099810083</v>
      </c>
      <c r="C70">
        <v>1099810083</v>
      </c>
      <c r="D70">
        <v>1099810083</v>
      </c>
      <c r="E70">
        <v>1099810083</v>
      </c>
      <c r="F70">
        <v>1099810083</v>
      </c>
      <c r="G70">
        <v>1099810083</v>
      </c>
      <c r="H70">
        <v>1099810083</v>
      </c>
      <c r="I70">
        <v>1140001121</v>
      </c>
      <c r="J70">
        <v>1140001121</v>
      </c>
      <c r="K70">
        <v>1154180729</v>
      </c>
    </row>
    <row r="71" spans="1:11" x14ac:dyDescent="0.3">
      <c r="A71" s="3" t="s">
        <v>46</v>
      </c>
    </row>
    <row r="72" spans="1:11" x14ac:dyDescent="0.3">
      <c r="A72" s="3" t="s">
        <v>59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5"/>
    </row>
    <row r="75" spans="1:11" x14ac:dyDescent="0.3">
      <c r="A75" s="5"/>
    </row>
    <row r="76" spans="1:11" x14ac:dyDescent="0.3">
      <c r="A76" s="5"/>
    </row>
    <row r="77" spans="1:11" x14ac:dyDescent="0.3">
      <c r="A77" s="5"/>
    </row>
    <row r="78" spans="1:11" x14ac:dyDescent="0.3">
      <c r="A78" s="5"/>
    </row>
    <row r="79" spans="1:11" x14ac:dyDescent="0.3">
      <c r="A79" s="5"/>
    </row>
    <row r="80" spans="1:11" x14ac:dyDescent="0.3">
      <c r="A80" s="1" t="s">
        <v>29</v>
      </c>
    </row>
    <row r="81" spans="1:11" s="11" customFormat="1" x14ac:dyDescent="0.3">
      <c r="A81" s="10" t="s">
        <v>26</v>
      </c>
      <c r="B81" s="7">
        <v>42460</v>
      </c>
      <c r="C81" s="7">
        <v>42825</v>
      </c>
      <c r="D81" s="7">
        <v>43190</v>
      </c>
      <c r="E81" s="7">
        <v>43555</v>
      </c>
      <c r="F81" s="7">
        <v>43921</v>
      </c>
      <c r="G81" s="7">
        <v>44286</v>
      </c>
      <c r="H81" s="7">
        <v>44651</v>
      </c>
      <c r="I81" s="7">
        <v>45016</v>
      </c>
      <c r="J81" s="7">
        <v>45382</v>
      </c>
      <c r="K81" s="7">
        <v>45747</v>
      </c>
    </row>
    <row r="82" spans="1:11" s="1" customFormat="1" x14ac:dyDescent="0.3">
      <c r="A82" s="5" t="s">
        <v>20</v>
      </c>
      <c r="B82">
        <v>5112.01</v>
      </c>
      <c r="C82">
        <v>774.07</v>
      </c>
      <c r="D82">
        <v>2942.39</v>
      </c>
      <c r="E82">
        <v>3235.92</v>
      </c>
      <c r="F82">
        <v>2453.56</v>
      </c>
      <c r="G82">
        <v>4043.31</v>
      </c>
      <c r="H82">
        <v>1385.28</v>
      </c>
      <c r="I82">
        <v>17626.46</v>
      </c>
      <c r="J82">
        <v>10312.19</v>
      </c>
      <c r="K82">
        <v>4513.1000000000004</v>
      </c>
    </row>
    <row r="83" spans="1:11" s="5" customFormat="1" x14ac:dyDescent="0.3">
      <c r="A83" s="5" t="s">
        <v>21</v>
      </c>
      <c r="B83">
        <v>-1825.17</v>
      </c>
      <c r="C83">
        <v>-1459.77</v>
      </c>
      <c r="D83">
        <v>-7648.85</v>
      </c>
      <c r="E83">
        <v>2486.91</v>
      </c>
      <c r="F83">
        <v>-1081.8499999999999</v>
      </c>
      <c r="G83">
        <v>-8610.66</v>
      </c>
      <c r="H83">
        <v>-17040.62</v>
      </c>
      <c r="I83">
        <v>-15458.84</v>
      </c>
      <c r="J83">
        <v>-18766.650000000001</v>
      </c>
      <c r="K83">
        <v>-25709.33</v>
      </c>
    </row>
    <row r="84" spans="1:11" s="5" customFormat="1" x14ac:dyDescent="0.3">
      <c r="A84" s="5" t="s">
        <v>22</v>
      </c>
      <c r="B84">
        <v>-3448.05</v>
      </c>
      <c r="C84">
        <v>715.82</v>
      </c>
      <c r="D84">
        <v>5119.57</v>
      </c>
      <c r="E84">
        <v>-6158.41</v>
      </c>
      <c r="F84">
        <v>-220.9</v>
      </c>
      <c r="G84">
        <v>3108.81</v>
      </c>
      <c r="H84">
        <v>15901.42</v>
      </c>
      <c r="I84">
        <v>-1197.52</v>
      </c>
      <c r="J84">
        <v>8878.68</v>
      </c>
      <c r="K84">
        <v>21947.34</v>
      </c>
    </row>
    <row r="85" spans="1:11" s="1" customFormat="1" x14ac:dyDescent="0.3">
      <c r="A85" s="5" t="s">
        <v>23</v>
      </c>
      <c r="B85">
        <v>-161.21</v>
      </c>
      <c r="C85">
        <v>30.12</v>
      </c>
      <c r="D85">
        <v>413.11</v>
      </c>
      <c r="E85">
        <v>-435.58</v>
      </c>
      <c r="F85">
        <v>1150.81</v>
      </c>
      <c r="G85">
        <v>-1458.54</v>
      </c>
      <c r="H85">
        <v>246.08</v>
      </c>
      <c r="I85">
        <v>970.1</v>
      </c>
      <c r="J85">
        <v>424.22</v>
      </c>
      <c r="K85">
        <v>751.11</v>
      </c>
    </row>
    <row r="86" spans="1:11" x14ac:dyDescent="0.3">
      <c r="A86" s="5"/>
    </row>
    <row r="87" spans="1:11" x14ac:dyDescent="0.3">
      <c r="A87" s="5"/>
    </row>
    <row r="88" spans="1:11" x14ac:dyDescent="0.3">
      <c r="A88" s="5"/>
    </row>
    <row r="89" spans="1:11" x14ac:dyDescent="0.3">
      <c r="A89" s="5"/>
    </row>
    <row r="90" spans="1:11" s="1" customFormat="1" x14ac:dyDescent="0.3">
      <c r="A90" s="1" t="s">
        <v>48</v>
      </c>
      <c r="B90">
        <v>47.81</v>
      </c>
      <c r="C90">
        <v>70.319999999999993</v>
      </c>
      <c r="D90">
        <v>101.31</v>
      </c>
      <c r="E90">
        <v>142.27000000000001</v>
      </c>
      <c r="F90">
        <v>133.4</v>
      </c>
      <c r="G90">
        <v>999.68</v>
      </c>
      <c r="H90">
        <v>1953.27</v>
      </c>
      <c r="I90">
        <v>1697.04</v>
      </c>
      <c r="J90">
        <v>3099.54</v>
      </c>
      <c r="K90">
        <v>2245.13</v>
      </c>
    </row>
    <row r="92" spans="1:11" s="1" customFormat="1" x14ac:dyDescent="0.3">
      <c r="A92" s="1" t="s">
        <v>47</v>
      </c>
    </row>
    <row r="93" spans="1:11" x14ac:dyDescent="0.3">
      <c r="A93" s="3" t="s">
        <v>60</v>
      </c>
      <c r="B93" s="12">
        <v>123.18</v>
      </c>
      <c r="C93" s="12">
        <v>123.18</v>
      </c>
      <c r="D93" s="12">
        <v>123.18</v>
      </c>
      <c r="E93" s="12">
        <v>123.18</v>
      </c>
      <c r="F93" s="12">
        <v>123.18</v>
      </c>
      <c r="G93" s="12">
        <v>123.18</v>
      </c>
      <c r="H93" s="12">
        <v>123.18</v>
      </c>
      <c r="I93" s="12">
        <v>127.68</v>
      </c>
      <c r="J93" s="12">
        <v>127.68</v>
      </c>
      <c r="K93" s="12">
        <v>129.27000000000001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Cover Sheet</vt:lpstr>
      <vt:lpstr>Nifty 50 </vt:lpstr>
      <vt:lpstr>Beta Analysis</vt:lpstr>
      <vt:lpstr>Capital Structure</vt:lpstr>
      <vt:lpstr>PE Valuation Model</vt:lpstr>
      <vt:lpstr>Cost Of Debt Analysis</vt:lpstr>
      <vt:lpstr>Balance Sheet</vt:lpstr>
      <vt:lpstr>Raw Financial Data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Prachi Agarwal</cp:lastModifiedBy>
  <cp:lastPrinted>2012-12-06T18:14:13Z</cp:lastPrinted>
  <dcterms:created xsi:type="dcterms:W3CDTF">2012-08-17T09:55:37Z</dcterms:created>
  <dcterms:modified xsi:type="dcterms:W3CDTF">2026-05-07T16:52:50Z</dcterms:modified>
</cp:coreProperties>
</file>